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esusCasado\Git\reservoirs-LSHM\notebook\ResOpsUS\paper\"/>
    </mc:Choice>
  </mc:AlternateContent>
  <xr:revisionPtr revIDLastSave="0" documentId="13_ncr:1_{330754FD-441E-49DF-A982-DABA3C2B8902}" xr6:coauthVersionLast="47" xr6:coauthVersionMax="47" xr10:uidLastSave="{00000000-0000-0000-0000-000000000000}"/>
  <bookViews>
    <workbookView xWindow="-3432" yWindow="-17388" windowWidth="30936" windowHeight="17496" xr2:uid="{00000000-000D-0000-FFFF-FFFF00000000}"/>
  </bookViews>
  <sheets>
    <sheet name="Sheet1" sheetId="1" r:id="rId1"/>
  </sheets>
  <definedNames>
    <definedName name="_xlnm._FilterDatabase" localSheetId="0" hidden="1">Sheet1!$A$1:$R$165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1" i="1" l="1"/>
  <c r="L131" i="1" s="1"/>
  <c r="Q39" i="1"/>
  <c r="R39" i="1" s="1"/>
  <c r="Q9" i="1"/>
  <c r="R9" i="1" s="1"/>
  <c r="Q19" i="1"/>
  <c r="R19" i="1" s="1"/>
  <c r="Q128" i="1"/>
  <c r="R128" i="1" s="1"/>
  <c r="Q66" i="1"/>
  <c r="R66" i="1" s="1"/>
  <c r="Q83" i="1"/>
  <c r="R83" i="1" s="1"/>
  <c r="Q41" i="1"/>
  <c r="R41" i="1" s="1"/>
  <c r="Q87" i="1"/>
  <c r="R87" i="1" s="1"/>
  <c r="Q118" i="1"/>
  <c r="R118" i="1" s="1"/>
  <c r="Q27" i="1"/>
  <c r="R27" i="1" s="1"/>
  <c r="Q48" i="1"/>
  <c r="R48" i="1" s="1"/>
  <c r="Q76" i="1"/>
  <c r="R76" i="1" s="1"/>
  <c r="Q103" i="1"/>
  <c r="R103" i="1" s="1"/>
  <c r="Q77" i="1"/>
  <c r="R77" i="1" s="1"/>
  <c r="Q3" i="1"/>
  <c r="R3" i="1" s="1"/>
  <c r="Q51" i="1"/>
  <c r="R51" i="1" s="1"/>
  <c r="Q16" i="1"/>
  <c r="R16" i="1" s="1"/>
  <c r="Q24" i="1"/>
  <c r="R24" i="1" s="1"/>
  <c r="Q26" i="1"/>
  <c r="R26" i="1" s="1"/>
  <c r="Q123" i="1"/>
  <c r="R123" i="1" s="1"/>
  <c r="Q138" i="1"/>
  <c r="R138" i="1" s="1"/>
  <c r="Q117" i="1"/>
  <c r="R117" i="1" s="1"/>
  <c r="Q63" i="1"/>
  <c r="R63" i="1" s="1"/>
  <c r="Q109" i="1"/>
  <c r="R109" i="1" s="1"/>
  <c r="Q108" i="1"/>
  <c r="R108" i="1" s="1"/>
  <c r="Q49" i="1"/>
  <c r="R49" i="1" s="1"/>
  <c r="N39" i="1"/>
  <c r="O39" i="1" s="1"/>
  <c r="N9" i="1"/>
  <c r="O9" i="1" s="1"/>
  <c r="N19" i="1"/>
  <c r="O19" i="1" s="1"/>
  <c r="N128" i="1"/>
  <c r="O128" i="1" s="1"/>
  <c r="N66" i="1"/>
  <c r="O66" i="1" s="1"/>
  <c r="N83" i="1"/>
  <c r="O83" i="1" s="1"/>
  <c r="N41" i="1"/>
  <c r="O41" i="1" s="1"/>
  <c r="N87" i="1"/>
  <c r="O87" i="1" s="1"/>
  <c r="N118" i="1"/>
  <c r="O118" i="1" s="1"/>
  <c r="N27" i="1"/>
  <c r="O27" i="1" s="1"/>
  <c r="N48" i="1"/>
  <c r="O48" i="1" s="1"/>
  <c r="N76" i="1"/>
  <c r="O76" i="1" s="1"/>
  <c r="N103" i="1"/>
  <c r="O103" i="1" s="1"/>
  <c r="N77" i="1"/>
  <c r="O77" i="1" s="1"/>
  <c r="N3" i="1"/>
  <c r="O3" i="1" s="1"/>
  <c r="N51" i="1"/>
  <c r="O51" i="1" s="1"/>
  <c r="N16" i="1"/>
  <c r="O16" i="1" s="1"/>
  <c r="N24" i="1"/>
  <c r="O24" i="1" s="1"/>
  <c r="N26" i="1"/>
  <c r="O26" i="1" s="1"/>
  <c r="N123" i="1"/>
  <c r="O123" i="1" s="1"/>
  <c r="N138" i="1"/>
  <c r="O138" i="1" s="1"/>
  <c r="N117" i="1"/>
  <c r="O117" i="1" s="1"/>
  <c r="N63" i="1"/>
  <c r="O63" i="1" s="1"/>
  <c r="N109" i="1"/>
  <c r="O109" i="1" s="1"/>
  <c r="N108" i="1"/>
  <c r="O108" i="1" s="1"/>
  <c r="N49" i="1"/>
  <c r="O49" i="1" s="1"/>
  <c r="K39" i="1"/>
  <c r="L39" i="1" s="1"/>
  <c r="K9" i="1"/>
  <c r="L9" i="1" s="1"/>
  <c r="K19" i="1"/>
  <c r="L19" i="1" s="1"/>
  <c r="K128" i="1"/>
  <c r="L128" i="1" s="1"/>
  <c r="K66" i="1"/>
  <c r="L66" i="1" s="1"/>
  <c r="K83" i="1"/>
  <c r="L83" i="1" s="1"/>
  <c r="K41" i="1"/>
  <c r="L41" i="1" s="1"/>
  <c r="K87" i="1"/>
  <c r="L87" i="1" s="1"/>
  <c r="K118" i="1"/>
  <c r="L118" i="1" s="1"/>
  <c r="K27" i="1"/>
  <c r="L27" i="1" s="1"/>
  <c r="K48" i="1"/>
  <c r="L48" i="1" s="1"/>
  <c r="K76" i="1"/>
  <c r="L76" i="1" s="1"/>
  <c r="K103" i="1"/>
  <c r="L103" i="1" s="1"/>
  <c r="K77" i="1"/>
  <c r="L77" i="1" s="1"/>
  <c r="K3" i="1"/>
  <c r="L3" i="1" s="1"/>
  <c r="K51" i="1"/>
  <c r="L51" i="1" s="1"/>
  <c r="K16" i="1"/>
  <c r="L16" i="1" s="1"/>
  <c r="K24" i="1"/>
  <c r="L24" i="1" s="1"/>
  <c r="K26" i="1"/>
  <c r="L26" i="1" s="1"/>
  <c r="K123" i="1"/>
  <c r="L123" i="1" s="1"/>
  <c r="K138" i="1"/>
  <c r="L138" i="1" s="1"/>
  <c r="K117" i="1"/>
  <c r="L117" i="1" s="1"/>
  <c r="K63" i="1"/>
  <c r="L63" i="1" s="1"/>
  <c r="K109" i="1"/>
  <c r="L109" i="1" s="1"/>
  <c r="K108" i="1"/>
  <c r="L108" i="1" s="1"/>
  <c r="K49" i="1"/>
  <c r="L49" i="1" s="1"/>
  <c r="K64" i="1"/>
  <c r="L64" i="1" s="1"/>
  <c r="Q84" i="1"/>
  <c r="R84" i="1" s="1"/>
  <c r="Q8" i="1"/>
  <c r="R8" i="1" s="1"/>
  <c r="Q32" i="1"/>
  <c r="R32" i="1" s="1"/>
  <c r="Q104" i="1"/>
  <c r="R104" i="1" s="1"/>
  <c r="Q45" i="1"/>
  <c r="R45" i="1" s="1"/>
  <c r="Q157" i="1"/>
  <c r="R157" i="1" s="1"/>
  <c r="Q124" i="1"/>
  <c r="R124" i="1" s="1"/>
  <c r="Q64" i="1"/>
  <c r="R64" i="1" s="1"/>
  <c r="Q44" i="1"/>
  <c r="R44" i="1" s="1"/>
  <c r="Q74" i="1"/>
  <c r="R74" i="1" s="1"/>
  <c r="Q163" i="1"/>
  <c r="R163" i="1" s="1"/>
  <c r="Q30" i="1"/>
  <c r="R30" i="1" s="1"/>
  <c r="Q53" i="1"/>
  <c r="R53" i="1" s="1"/>
  <c r="Q20" i="1"/>
  <c r="R20" i="1" s="1"/>
  <c r="Q92" i="1"/>
  <c r="R92" i="1" s="1"/>
  <c r="Q161" i="1"/>
  <c r="R161" i="1" s="1"/>
  <c r="Q127" i="1"/>
  <c r="R127" i="1" s="1"/>
  <c r="Q96" i="1"/>
  <c r="R96" i="1" s="1"/>
  <c r="Q71" i="1"/>
  <c r="R71" i="1" s="1"/>
  <c r="Q150" i="1"/>
  <c r="R150" i="1" s="1"/>
  <c r="Q156" i="1"/>
  <c r="R156" i="1" s="1"/>
  <c r="Q158" i="1"/>
  <c r="R158" i="1" s="1"/>
  <c r="Q78" i="1"/>
  <c r="R78" i="1" s="1"/>
  <c r="Q102" i="1"/>
  <c r="R102" i="1" s="1"/>
  <c r="Q15" i="1"/>
  <c r="R15" i="1" s="1"/>
  <c r="Q162" i="1"/>
  <c r="R162" i="1" s="1"/>
  <c r="Q93" i="1"/>
  <c r="R93" i="1" s="1"/>
  <c r="Q137" i="1"/>
  <c r="R137" i="1" s="1"/>
  <c r="Q131" i="1"/>
  <c r="R131" i="1" s="1"/>
  <c r="Q164" i="1"/>
  <c r="R164" i="1" s="1"/>
  <c r="Q33" i="1"/>
  <c r="R33" i="1" s="1"/>
  <c r="Q37" i="1"/>
  <c r="R37" i="1" s="1"/>
  <c r="Q34" i="1"/>
  <c r="R34" i="1" s="1"/>
  <c r="Q139" i="1"/>
  <c r="R139" i="1" s="1"/>
  <c r="Q43" i="1"/>
  <c r="R43" i="1" s="1"/>
  <c r="Q113" i="1"/>
  <c r="R113" i="1" s="1"/>
  <c r="Q95" i="1"/>
  <c r="R95" i="1" s="1"/>
  <c r="Q110" i="1"/>
  <c r="R110" i="1" s="1"/>
  <c r="Q11" i="1"/>
  <c r="R11" i="1" s="1"/>
  <c r="Q14" i="1"/>
  <c r="R14" i="1" s="1"/>
  <c r="Q10" i="1"/>
  <c r="R10" i="1" s="1"/>
  <c r="Q149" i="1"/>
  <c r="R149" i="1" s="1"/>
  <c r="Q160" i="1"/>
  <c r="R160" i="1" s="1"/>
  <c r="Q126" i="1"/>
  <c r="R126" i="1" s="1"/>
  <c r="Q144" i="1"/>
  <c r="R144" i="1" s="1"/>
  <c r="Q134" i="1"/>
  <c r="R134" i="1" s="1"/>
  <c r="Q142" i="1"/>
  <c r="R142" i="1" s="1"/>
  <c r="Q114" i="1"/>
  <c r="R114" i="1" s="1"/>
  <c r="Q61" i="1"/>
  <c r="R61" i="1" s="1"/>
  <c r="Q146" i="1"/>
  <c r="R146" i="1" s="1"/>
  <c r="Q5" i="1"/>
  <c r="R5" i="1" s="1"/>
  <c r="Q148" i="1"/>
  <c r="R148" i="1" s="1"/>
  <c r="Q153" i="1"/>
  <c r="R153" i="1" s="1"/>
  <c r="Q36" i="1"/>
  <c r="R36" i="1" s="1"/>
  <c r="Q100" i="1"/>
  <c r="R100" i="1" s="1"/>
  <c r="Q58" i="1"/>
  <c r="R58" i="1" s="1"/>
  <c r="Q81" i="1"/>
  <c r="R81" i="1" s="1"/>
  <c r="Q72" i="1"/>
  <c r="R72" i="1" s="1"/>
  <c r="Q56" i="1"/>
  <c r="R56" i="1" s="1"/>
  <c r="Q31" i="1"/>
  <c r="R31" i="1" s="1"/>
  <c r="Q147" i="1"/>
  <c r="R147" i="1" s="1"/>
  <c r="Q62" i="1"/>
  <c r="R62" i="1" s="1"/>
  <c r="Q4" i="1"/>
  <c r="R4" i="1" s="1"/>
  <c r="Q119" i="1"/>
  <c r="R119" i="1" s="1"/>
  <c r="Q59" i="1"/>
  <c r="R59" i="1" s="1"/>
  <c r="Q143" i="1"/>
  <c r="R143" i="1" s="1"/>
  <c r="Q97" i="1"/>
  <c r="R97" i="1" s="1"/>
  <c r="Q145" i="1"/>
  <c r="R145" i="1" s="1"/>
  <c r="Q90" i="1"/>
  <c r="R90" i="1" s="1"/>
  <c r="Q85" i="1"/>
  <c r="R85" i="1" s="1"/>
  <c r="Q6" i="1"/>
  <c r="R6" i="1" s="1"/>
  <c r="Q60" i="1"/>
  <c r="R60" i="1" s="1"/>
  <c r="Q122" i="1"/>
  <c r="R122" i="1" s="1"/>
  <c r="Q94" i="1"/>
  <c r="R94" i="1" s="1"/>
  <c r="Q21" i="1"/>
  <c r="R21" i="1" s="1"/>
  <c r="Q73" i="1"/>
  <c r="R73" i="1" s="1"/>
  <c r="Q80" i="1"/>
  <c r="R80" i="1" s="1"/>
  <c r="Q75" i="1"/>
  <c r="R75" i="1" s="1"/>
  <c r="Q35" i="1"/>
  <c r="R35" i="1" s="1"/>
  <c r="Q82" i="1"/>
  <c r="R82" i="1" s="1"/>
  <c r="Q135" i="1"/>
  <c r="R135" i="1" s="1"/>
  <c r="Q111" i="1"/>
  <c r="R111" i="1" s="1"/>
  <c r="Q69" i="1"/>
  <c r="R69" i="1" s="1"/>
  <c r="Q47" i="1"/>
  <c r="R47" i="1" s="1"/>
  <c r="Q55" i="1"/>
  <c r="R55" i="1" s="1"/>
  <c r="Q18" i="1"/>
  <c r="R18" i="1" s="1"/>
  <c r="Q129" i="1"/>
  <c r="R129" i="1" s="1"/>
  <c r="Q154" i="1"/>
  <c r="R154" i="1" s="1"/>
  <c r="Q151" i="1"/>
  <c r="R151" i="1" s="1"/>
  <c r="Q140" i="1"/>
  <c r="R140" i="1" s="1"/>
  <c r="Q86" i="1"/>
  <c r="R86" i="1" s="1"/>
  <c r="Q101" i="1"/>
  <c r="R101" i="1" s="1"/>
  <c r="Q38" i="1"/>
  <c r="R38" i="1" s="1"/>
  <c r="Q115" i="1"/>
  <c r="R115" i="1" s="1"/>
  <c r="Q12" i="1"/>
  <c r="R12" i="1" s="1"/>
  <c r="Q89" i="1"/>
  <c r="R89" i="1" s="1"/>
  <c r="Q57" i="1"/>
  <c r="R57" i="1" s="1"/>
  <c r="Q17" i="1"/>
  <c r="R17" i="1" s="1"/>
  <c r="Q7" i="1"/>
  <c r="R7" i="1" s="1"/>
  <c r="Q98" i="1"/>
  <c r="R98" i="1" s="1"/>
  <c r="Q112" i="1"/>
  <c r="R112" i="1" s="1"/>
  <c r="Q88" i="1"/>
  <c r="R88" i="1" s="1"/>
  <c r="Q152" i="1"/>
  <c r="R152" i="1" s="1"/>
  <c r="Q136" i="1"/>
  <c r="R136" i="1" s="1"/>
  <c r="Q107" i="1"/>
  <c r="R107" i="1" s="1"/>
  <c r="Q70" i="1"/>
  <c r="R70" i="1" s="1"/>
  <c r="Q141" i="1"/>
  <c r="R141" i="1" s="1"/>
  <c r="Q155" i="1"/>
  <c r="R155" i="1" s="1"/>
  <c r="Q130" i="1"/>
  <c r="R130" i="1" s="1"/>
  <c r="Q106" i="1"/>
  <c r="R106" i="1" s="1"/>
  <c r="Q125" i="1"/>
  <c r="R125" i="1" s="1"/>
  <c r="Q121" i="1"/>
  <c r="R121" i="1" s="1"/>
  <c r="Q105" i="1"/>
  <c r="R105" i="1" s="1"/>
  <c r="Q91" i="1"/>
  <c r="R91" i="1" s="1"/>
  <c r="Q42" i="1"/>
  <c r="R42" i="1" s="1"/>
  <c r="Q65" i="1"/>
  <c r="R65" i="1" s="1"/>
  <c r="Q67" i="1"/>
  <c r="R67" i="1" s="1"/>
  <c r="Q40" i="1"/>
  <c r="R40" i="1" s="1"/>
  <c r="Q120" i="1"/>
  <c r="R120" i="1" s="1"/>
  <c r="Q50" i="1"/>
  <c r="R50" i="1" s="1"/>
  <c r="Q159" i="1"/>
  <c r="R159" i="1" s="1"/>
  <c r="Q46" i="1"/>
  <c r="R46" i="1" s="1"/>
  <c r="Q116" i="1"/>
  <c r="R116" i="1" s="1"/>
  <c r="Q133" i="1"/>
  <c r="R133" i="1" s="1"/>
  <c r="Q2" i="1"/>
  <c r="R2" i="1" s="1"/>
  <c r="Q79" i="1"/>
  <c r="R79" i="1" s="1"/>
  <c r="Q68" i="1"/>
  <c r="R68" i="1" s="1"/>
  <c r="Q52" i="1"/>
  <c r="R52" i="1" s="1"/>
  <c r="Q23" i="1"/>
  <c r="R23" i="1" s="1"/>
  <c r="Q54" i="1"/>
  <c r="R54" i="1" s="1"/>
  <c r="Q29" i="1"/>
  <c r="R29" i="1" s="1"/>
  <c r="Q13" i="1"/>
  <c r="R13" i="1" s="1"/>
  <c r="Q22" i="1"/>
  <c r="R22" i="1" s="1"/>
  <c r="Q28" i="1"/>
  <c r="R28" i="1" s="1"/>
  <c r="Q132" i="1"/>
  <c r="R132" i="1" s="1"/>
  <c r="Q99" i="1"/>
  <c r="R99" i="1" s="1"/>
  <c r="Q25" i="1"/>
  <c r="R25" i="1" s="1"/>
  <c r="N84" i="1"/>
  <c r="O84" i="1" s="1"/>
  <c r="N8" i="1"/>
  <c r="O8" i="1" s="1"/>
  <c r="N32" i="1"/>
  <c r="O32" i="1" s="1"/>
  <c r="N104" i="1"/>
  <c r="O104" i="1" s="1"/>
  <c r="N45" i="1"/>
  <c r="O45" i="1" s="1"/>
  <c r="N157" i="1"/>
  <c r="O157" i="1" s="1"/>
  <c r="N124" i="1"/>
  <c r="O124" i="1" s="1"/>
  <c r="N64" i="1"/>
  <c r="O64" i="1" s="1"/>
  <c r="N44" i="1"/>
  <c r="O44" i="1" s="1"/>
  <c r="N74" i="1"/>
  <c r="O74" i="1" s="1"/>
  <c r="N163" i="1"/>
  <c r="O163" i="1" s="1"/>
  <c r="N30" i="1"/>
  <c r="O30" i="1" s="1"/>
  <c r="N53" i="1"/>
  <c r="O53" i="1" s="1"/>
  <c r="N20" i="1"/>
  <c r="O20" i="1" s="1"/>
  <c r="N92" i="1"/>
  <c r="O92" i="1" s="1"/>
  <c r="N161" i="1"/>
  <c r="O161" i="1" s="1"/>
  <c r="N127" i="1"/>
  <c r="O127" i="1" s="1"/>
  <c r="N96" i="1"/>
  <c r="O96" i="1" s="1"/>
  <c r="N71" i="1"/>
  <c r="O71" i="1" s="1"/>
  <c r="N150" i="1"/>
  <c r="O150" i="1" s="1"/>
  <c r="N156" i="1"/>
  <c r="O156" i="1" s="1"/>
  <c r="N158" i="1"/>
  <c r="O158" i="1" s="1"/>
  <c r="N78" i="1"/>
  <c r="O78" i="1" s="1"/>
  <c r="N102" i="1"/>
  <c r="O102" i="1" s="1"/>
  <c r="N15" i="1"/>
  <c r="O15" i="1" s="1"/>
  <c r="N162" i="1"/>
  <c r="O162" i="1" s="1"/>
  <c r="N93" i="1"/>
  <c r="O93" i="1" s="1"/>
  <c r="N137" i="1"/>
  <c r="O137" i="1" s="1"/>
  <c r="N131" i="1"/>
  <c r="O131" i="1" s="1"/>
  <c r="N164" i="1"/>
  <c r="O164" i="1" s="1"/>
  <c r="N33" i="1"/>
  <c r="O33" i="1" s="1"/>
  <c r="N37" i="1"/>
  <c r="O37" i="1" s="1"/>
  <c r="N34" i="1"/>
  <c r="O34" i="1" s="1"/>
  <c r="N139" i="1"/>
  <c r="O139" i="1" s="1"/>
  <c r="N43" i="1"/>
  <c r="O43" i="1" s="1"/>
  <c r="N113" i="1"/>
  <c r="O113" i="1" s="1"/>
  <c r="N95" i="1"/>
  <c r="O95" i="1" s="1"/>
  <c r="N110" i="1"/>
  <c r="O110" i="1" s="1"/>
  <c r="N11" i="1"/>
  <c r="O11" i="1" s="1"/>
  <c r="N14" i="1"/>
  <c r="O14" i="1" s="1"/>
  <c r="N10" i="1"/>
  <c r="O10" i="1" s="1"/>
  <c r="N149" i="1"/>
  <c r="O149" i="1" s="1"/>
  <c r="N160" i="1"/>
  <c r="O160" i="1" s="1"/>
  <c r="N126" i="1"/>
  <c r="O126" i="1" s="1"/>
  <c r="N144" i="1"/>
  <c r="O144" i="1" s="1"/>
  <c r="N134" i="1"/>
  <c r="O134" i="1" s="1"/>
  <c r="N142" i="1"/>
  <c r="O142" i="1" s="1"/>
  <c r="N114" i="1"/>
  <c r="O114" i="1" s="1"/>
  <c r="N61" i="1"/>
  <c r="O61" i="1" s="1"/>
  <c r="N146" i="1"/>
  <c r="O146" i="1" s="1"/>
  <c r="N5" i="1"/>
  <c r="O5" i="1" s="1"/>
  <c r="N148" i="1"/>
  <c r="O148" i="1" s="1"/>
  <c r="N153" i="1"/>
  <c r="O153" i="1" s="1"/>
  <c r="N36" i="1"/>
  <c r="O36" i="1" s="1"/>
  <c r="N100" i="1"/>
  <c r="O100" i="1" s="1"/>
  <c r="N58" i="1"/>
  <c r="O58" i="1" s="1"/>
  <c r="N81" i="1"/>
  <c r="O81" i="1" s="1"/>
  <c r="N72" i="1"/>
  <c r="O72" i="1" s="1"/>
  <c r="N56" i="1"/>
  <c r="O56" i="1" s="1"/>
  <c r="N31" i="1"/>
  <c r="O31" i="1" s="1"/>
  <c r="N147" i="1"/>
  <c r="O147" i="1" s="1"/>
  <c r="N62" i="1"/>
  <c r="O62" i="1" s="1"/>
  <c r="N4" i="1"/>
  <c r="O4" i="1" s="1"/>
  <c r="N119" i="1"/>
  <c r="O119" i="1" s="1"/>
  <c r="N59" i="1"/>
  <c r="O59" i="1" s="1"/>
  <c r="N143" i="1"/>
  <c r="O143" i="1" s="1"/>
  <c r="N97" i="1"/>
  <c r="O97" i="1" s="1"/>
  <c r="N145" i="1"/>
  <c r="O145" i="1" s="1"/>
  <c r="N90" i="1"/>
  <c r="O90" i="1" s="1"/>
  <c r="N85" i="1"/>
  <c r="O85" i="1" s="1"/>
  <c r="N6" i="1"/>
  <c r="O6" i="1" s="1"/>
  <c r="N60" i="1"/>
  <c r="O60" i="1" s="1"/>
  <c r="N122" i="1"/>
  <c r="O122" i="1" s="1"/>
  <c r="N94" i="1"/>
  <c r="O94" i="1" s="1"/>
  <c r="N21" i="1"/>
  <c r="O21" i="1" s="1"/>
  <c r="N73" i="1"/>
  <c r="O73" i="1" s="1"/>
  <c r="N80" i="1"/>
  <c r="O80" i="1" s="1"/>
  <c r="N75" i="1"/>
  <c r="O75" i="1" s="1"/>
  <c r="N35" i="1"/>
  <c r="O35" i="1" s="1"/>
  <c r="N82" i="1"/>
  <c r="O82" i="1" s="1"/>
  <c r="N135" i="1"/>
  <c r="O135" i="1" s="1"/>
  <c r="N111" i="1"/>
  <c r="O111" i="1" s="1"/>
  <c r="N69" i="1"/>
  <c r="O69" i="1" s="1"/>
  <c r="N47" i="1"/>
  <c r="O47" i="1" s="1"/>
  <c r="N55" i="1"/>
  <c r="O55" i="1" s="1"/>
  <c r="N18" i="1"/>
  <c r="O18" i="1" s="1"/>
  <c r="N129" i="1"/>
  <c r="O129" i="1" s="1"/>
  <c r="N154" i="1"/>
  <c r="O154" i="1" s="1"/>
  <c r="N151" i="1"/>
  <c r="O151" i="1" s="1"/>
  <c r="N140" i="1"/>
  <c r="O140" i="1" s="1"/>
  <c r="N86" i="1"/>
  <c r="O86" i="1" s="1"/>
  <c r="N101" i="1"/>
  <c r="O101" i="1" s="1"/>
  <c r="N38" i="1"/>
  <c r="O38" i="1" s="1"/>
  <c r="N115" i="1"/>
  <c r="O115" i="1" s="1"/>
  <c r="N12" i="1"/>
  <c r="O12" i="1" s="1"/>
  <c r="N89" i="1"/>
  <c r="O89" i="1" s="1"/>
  <c r="N57" i="1"/>
  <c r="O57" i="1" s="1"/>
  <c r="N17" i="1"/>
  <c r="O17" i="1" s="1"/>
  <c r="N7" i="1"/>
  <c r="O7" i="1" s="1"/>
  <c r="N98" i="1"/>
  <c r="O98" i="1" s="1"/>
  <c r="N112" i="1"/>
  <c r="O112" i="1" s="1"/>
  <c r="N88" i="1"/>
  <c r="O88" i="1" s="1"/>
  <c r="N152" i="1"/>
  <c r="O152" i="1" s="1"/>
  <c r="N136" i="1"/>
  <c r="O136" i="1" s="1"/>
  <c r="N107" i="1"/>
  <c r="O107" i="1" s="1"/>
  <c r="N70" i="1"/>
  <c r="O70" i="1" s="1"/>
  <c r="N141" i="1"/>
  <c r="O141" i="1" s="1"/>
  <c r="N155" i="1"/>
  <c r="O155" i="1" s="1"/>
  <c r="N130" i="1"/>
  <c r="O130" i="1" s="1"/>
  <c r="N106" i="1"/>
  <c r="O106" i="1" s="1"/>
  <c r="N125" i="1"/>
  <c r="O125" i="1" s="1"/>
  <c r="N121" i="1"/>
  <c r="O121" i="1" s="1"/>
  <c r="N105" i="1"/>
  <c r="O105" i="1" s="1"/>
  <c r="N91" i="1"/>
  <c r="O91" i="1" s="1"/>
  <c r="N42" i="1"/>
  <c r="O42" i="1" s="1"/>
  <c r="N65" i="1"/>
  <c r="O65" i="1" s="1"/>
  <c r="N67" i="1"/>
  <c r="O67" i="1" s="1"/>
  <c r="N40" i="1"/>
  <c r="O40" i="1" s="1"/>
  <c r="N120" i="1"/>
  <c r="O120" i="1" s="1"/>
  <c r="N50" i="1"/>
  <c r="O50" i="1" s="1"/>
  <c r="N159" i="1"/>
  <c r="O159" i="1" s="1"/>
  <c r="N46" i="1"/>
  <c r="O46" i="1" s="1"/>
  <c r="N116" i="1"/>
  <c r="O116" i="1" s="1"/>
  <c r="N133" i="1"/>
  <c r="O133" i="1" s="1"/>
  <c r="N2" i="1"/>
  <c r="O2" i="1" s="1"/>
  <c r="N79" i="1"/>
  <c r="O79" i="1" s="1"/>
  <c r="N68" i="1"/>
  <c r="O68" i="1" s="1"/>
  <c r="N52" i="1"/>
  <c r="O52" i="1" s="1"/>
  <c r="N23" i="1"/>
  <c r="O23" i="1" s="1"/>
  <c r="N54" i="1"/>
  <c r="O54" i="1" s="1"/>
  <c r="N29" i="1"/>
  <c r="O29" i="1" s="1"/>
  <c r="N13" i="1"/>
  <c r="O13" i="1" s="1"/>
  <c r="N22" i="1"/>
  <c r="O22" i="1" s="1"/>
  <c r="N28" i="1"/>
  <c r="O28" i="1" s="1"/>
  <c r="N132" i="1"/>
  <c r="O132" i="1" s="1"/>
  <c r="N99" i="1"/>
  <c r="O99" i="1" s="1"/>
  <c r="N25" i="1"/>
  <c r="O25" i="1" s="1"/>
  <c r="K84" i="1"/>
  <c r="L84" i="1" s="1"/>
  <c r="K8" i="1"/>
  <c r="L8" i="1" s="1"/>
  <c r="K32" i="1"/>
  <c r="L32" i="1" s="1"/>
  <c r="K104" i="1"/>
  <c r="L104" i="1" s="1"/>
  <c r="K45" i="1"/>
  <c r="L45" i="1" s="1"/>
  <c r="K157" i="1"/>
  <c r="L157" i="1" s="1"/>
  <c r="K124" i="1"/>
  <c r="L124" i="1" s="1"/>
  <c r="K44" i="1"/>
  <c r="L44" i="1" s="1"/>
  <c r="K74" i="1"/>
  <c r="L74" i="1" s="1"/>
  <c r="K163" i="1"/>
  <c r="L163" i="1" s="1"/>
  <c r="K30" i="1"/>
  <c r="L30" i="1" s="1"/>
  <c r="K53" i="1"/>
  <c r="L53" i="1" s="1"/>
  <c r="K20" i="1"/>
  <c r="L20" i="1" s="1"/>
  <c r="K92" i="1"/>
  <c r="L92" i="1" s="1"/>
  <c r="K161" i="1"/>
  <c r="L161" i="1" s="1"/>
  <c r="K127" i="1"/>
  <c r="L127" i="1" s="1"/>
  <c r="K96" i="1"/>
  <c r="L96" i="1" s="1"/>
  <c r="K71" i="1"/>
  <c r="L71" i="1" s="1"/>
  <c r="K150" i="1"/>
  <c r="L150" i="1" s="1"/>
  <c r="K156" i="1"/>
  <c r="L156" i="1" s="1"/>
  <c r="K158" i="1"/>
  <c r="L158" i="1" s="1"/>
  <c r="K78" i="1"/>
  <c r="L78" i="1" s="1"/>
  <c r="K102" i="1"/>
  <c r="L102" i="1" s="1"/>
  <c r="K15" i="1"/>
  <c r="L15" i="1" s="1"/>
  <c r="K162" i="1"/>
  <c r="L162" i="1" s="1"/>
  <c r="K93" i="1"/>
  <c r="L93" i="1" s="1"/>
  <c r="K137" i="1"/>
  <c r="L137" i="1" s="1"/>
  <c r="K164" i="1"/>
  <c r="L164" i="1" s="1"/>
  <c r="K33" i="1"/>
  <c r="L33" i="1" s="1"/>
  <c r="K37" i="1"/>
  <c r="L37" i="1" s="1"/>
  <c r="K34" i="1"/>
  <c r="L34" i="1" s="1"/>
  <c r="K139" i="1"/>
  <c r="L139" i="1" s="1"/>
  <c r="K43" i="1"/>
  <c r="L43" i="1" s="1"/>
  <c r="K113" i="1"/>
  <c r="L113" i="1" s="1"/>
  <c r="K95" i="1"/>
  <c r="L95" i="1" s="1"/>
  <c r="K110" i="1"/>
  <c r="L110" i="1" s="1"/>
  <c r="K11" i="1"/>
  <c r="L11" i="1" s="1"/>
  <c r="K14" i="1"/>
  <c r="L14" i="1" s="1"/>
  <c r="K10" i="1"/>
  <c r="L10" i="1" s="1"/>
  <c r="K149" i="1"/>
  <c r="L149" i="1" s="1"/>
  <c r="K160" i="1"/>
  <c r="L160" i="1" s="1"/>
  <c r="K126" i="1"/>
  <c r="L126" i="1" s="1"/>
  <c r="K144" i="1"/>
  <c r="L144" i="1" s="1"/>
  <c r="K134" i="1"/>
  <c r="L134" i="1" s="1"/>
  <c r="K142" i="1"/>
  <c r="L142" i="1" s="1"/>
  <c r="K114" i="1"/>
  <c r="L114" i="1" s="1"/>
  <c r="K61" i="1"/>
  <c r="L61" i="1" s="1"/>
  <c r="K146" i="1"/>
  <c r="L146" i="1" s="1"/>
  <c r="K5" i="1"/>
  <c r="L5" i="1" s="1"/>
  <c r="K148" i="1"/>
  <c r="L148" i="1" s="1"/>
  <c r="K153" i="1"/>
  <c r="L153" i="1" s="1"/>
  <c r="K36" i="1"/>
  <c r="L36" i="1" s="1"/>
  <c r="K100" i="1"/>
  <c r="L100" i="1" s="1"/>
  <c r="K58" i="1"/>
  <c r="L58" i="1" s="1"/>
  <c r="K81" i="1"/>
  <c r="L81" i="1" s="1"/>
  <c r="K72" i="1"/>
  <c r="L72" i="1" s="1"/>
  <c r="K56" i="1"/>
  <c r="L56" i="1" s="1"/>
  <c r="K31" i="1"/>
  <c r="L31" i="1" s="1"/>
  <c r="K147" i="1"/>
  <c r="L147" i="1" s="1"/>
  <c r="K62" i="1"/>
  <c r="L62" i="1" s="1"/>
  <c r="K4" i="1"/>
  <c r="L4" i="1" s="1"/>
  <c r="K119" i="1"/>
  <c r="L119" i="1" s="1"/>
  <c r="K59" i="1"/>
  <c r="L59" i="1" s="1"/>
  <c r="K143" i="1"/>
  <c r="L143" i="1" s="1"/>
  <c r="K97" i="1"/>
  <c r="L97" i="1" s="1"/>
  <c r="K145" i="1"/>
  <c r="L145" i="1" s="1"/>
  <c r="K90" i="1"/>
  <c r="L90" i="1" s="1"/>
  <c r="K85" i="1"/>
  <c r="L85" i="1" s="1"/>
  <c r="K6" i="1"/>
  <c r="L6" i="1" s="1"/>
  <c r="K60" i="1"/>
  <c r="L60" i="1" s="1"/>
  <c r="K122" i="1"/>
  <c r="L122" i="1" s="1"/>
  <c r="K94" i="1"/>
  <c r="L94" i="1" s="1"/>
  <c r="K21" i="1"/>
  <c r="L21" i="1" s="1"/>
  <c r="K73" i="1"/>
  <c r="L73" i="1" s="1"/>
  <c r="K80" i="1"/>
  <c r="L80" i="1" s="1"/>
  <c r="K75" i="1"/>
  <c r="L75" i="1" s="1"/>
  <c r="K35" i="1"/>
  <c r="L35" i="1" s="1"/>
  <c r="K82" i="1"/>
  <c r="L82" i="1" s="1"/>
  <c r="K135" i="1"/>
  <c r="L135" i="1" s="1"/>
  <c r="K111" i="1"/>
  <c r="L111" i="1" s="1"/>
  <c r="K69" i="1"/>
  <c r="L69" i="1" s="1"/>
  <c r="K47" i="1"/>
  <c r="L47" i="1" s="1"/>
  <c r="K55" i="1"/>
  <c r="L55" i="1" s="1"/>
  <c r="K18" i="1"/>
  <c r="L18" i="1" s="1"/>
  <c r="K129" i="1"/>
  <c r="L129" i="1" s="1"/>
  <c r="K154" i="1"/>
  <c r="L154" i="1" s="1"/>
  <c r="K151" i="1"/>
  <c r="L151" i="1" s="1"/>
  <c r="K140" i="1"/>
  <c r="L140" i="1" s="1"/>
  <c r="K86" i="1"/>
  <c r="L86" i="1" s="1"/>
  <c r="K101" i="1"/>
  <c r="L101" i="1" s="1"/>
  <c r="K38" i="1"/>
  <c r="L38" i="1" s="1"/>
  <c r="K115" i="1"/>
  <c r="L115" i="1" s="1"/>
  <c r="K12" i="1"/>
  <c r="L12" i="1" s="1"/>
  <c r="K89" i="1"/>
  <c r="L89" i="1" s="1"/>
  <c r="K57" i="1"/>
  <c r="L57" i="1" s="1"/>
  <c r="K17" i="1"/>
  <c r="L17" i="1" s="1"/>
  <c r="K7" i="1"/>
  <c r="L7" i="1" s="1"/>
  <c r="K98" i="1"/>
  <c r="L98" i="1" s="1"/>
  <c r="K112" i="1"/>
  <c r="L112" i="1" s="1"/>
  <c r="K88" i="1"/>
  <c r="L88" i="1" s="1"/>
  <c r="K152" i="1"/>
  <c r="L152" i="1" s="1"/>
  <c r="K136" i="1"/>
  <c r="L136" i="1" s="1"/>
  <c r="K107" i="1"/>
  <c r="L107" i="1" s="1"/>
  <c r="K70" i="1"/>
  <c r="L70" i="1" s="1"/>
  <c r="K141" i="1"/>
  <c r="L141" i="1" s="1"/>
  <c r="K155" i="1"/>
  <c r="L155" i="1" s="1"/>
  <c r="K130" i="1"/>
  <c r="L130" i="1" s="1"/>
  <c r="K106" i="1"/>
  <c r="L106" i="1" s="1"/>
  <c r="K125" i="1"/>
  <c r="L125" i="1" s="1"/>
  <c r="K121" i="1"/>
  <c r="L121" i="1" s="1"/>
  <c r="K105" i="1"/>
  <c r="L105" i="1" s="1"/>
  <c r="K91" i="1"/>
  <c r="L91" i="1" s="1"/>
  <c r="K42" i="1"/>
  <c r="L42" i="1" s="1"/>
  <c r="K65" i="1"/>
  <c r="L65" i="1" s="1"/>
  <c r="K67" i="1"/>
  <c r="L67" i="1" s="1"/>
  <c r="K40" i="1"/>
  <c r="L40" i="1" s="1"/>
  <c r="K120" i="1"/>
  <c r="L120" i="1" s="1"/>
  <c r="K50" i="1"/>
  <c r="L50" i="1" s="1"/>
  <c r="K159" i="1"/>
  <c r="L159" i="1" s="1"/>
  <c r="K46" i="1"/>
  <c r="L46" i="1" s="1"/>
  <c r="K116" i="1"/>
  <c r="L116" i="1" s="1"/>
  <c r="K133" i="1"/>
  <c r="L133" i="1" s="1"/>
  <c r="K2" i="1"/>
  <c r="L2" i="1" s="1"/>
  <c r="K79" i="1"/>
  <c r="L79" i="1" s="1"/>
  <c r="K68" i="1"/>
  <c r="L68" i="1" s="1"/>
  <c r="K52" i="1"/>
  <c r="L52" i="1" s="1"/>
  <c r="K23" i="1"/>
  <c r="L23" i="1" s="1"/>
  <c r="K54" i="1"/>
  <c r="L54" i="1" s="1"/>
  <c r="K29" i="1"/>
  <c r="L29" i="1" s="1"/>
  <c r="K13" i="1"/>
  <c r="L13" i="1" s="1"/>
  <c r="K22" i="1"/>
  <c r="L22" i="1" s="1"/>
  <c r="K28" i="1"/>
  <c r="L28" i="1" s="1"/>
  <c r="K132" i="1"/>
  <c r="L132" i="1" s="1"/>
  <c r="K99" i="1"/>
  <c r="L99" i="1" s="1"/>
  <c r="K25" i="1"/>
  <c r="L25" i="1" s="1"/>
  <c r="Q165" i="1"/>
  <c r="R165" i="1" s="1"/>
  <c r="N165" i="1"/>
  <c r="O165" i="1" s="1"/>
  <c r="K165" i="1"/>
  <c r="L165" i="1" s="1"/>
</calcChain>
</file>

<file path=xl/sharedStrings.xml><?xml version="1.0" encoding="utf-8"?>
<sst xmlns="http://schemas.openxmlformats.org/spreadsheetml/2006/main" count="490" uniqueCount="296">
  <si>
    <t>GRAND_ID</t>
  </si>
  <si>
    <t>res_name</t>
  </si>
  <si>
    <t>dam_name</t>
  </si>
  <si>
    <t>admin_unit</t>
  </si>
  <si>
    <t>cap_mcm</t>
  </si>
  <si>
    <t>area_skm</t>
  </si>
  <si>
    <t>dam_hgt_m</t>
  </si>
  <si>
    <t>elev_masl</t>
  </si>
  <si>
    <t>KGE</t>
  </si>
  <si>
    <t>Ross</t>
  </si>
  <si>
    <t>Washington</t>
  </si>
  <si>
    <t>Lake Mendocino</t>
  </si>
  <si>
    <t>Coyote Valley Dam</t>
  </si>
  <si>
    <t>California</t>
  </si>
  <si>
    <t>Folsom Lake</t>
  </si>
  <si>
    <t>Folsom</t>
  </si>
  <si>
    <t>Lake Sherburne</t>
  </si>
  <si>
    <t>Montana</t>
  </si>
  <si>
    <t>Fresno</t>
  </si>
  <si>
    <t>Lake Elwell</t>
  </si>
  <si>
    <t>Tiber Dike</t>
  </si>
  <si>
    <t>Swift Dike</t>
  </si>
  <si>
    <t>Fort Peck Lake</t>
  </si>
  <si>
    <t>Fort Peck Dam</t>
  </si>
  <si>
    <t>Gibson</t>
  </si>
  <si>
    <t>Bighorn Lake</t>
  </si>
  <si>
    <t>Yellowtail</t>
  </si>
  <si>
    <t>Clark Canyon</t>
  </si>
  <si>
    <t>Hebgen Lake</t>
  </si>
  <si>
    <t>Hebgen Dam</t>
  </si>
  <si>
    <t>Lima</t>
  </si>
  <si>
    <t>Buffalo Bill</t>
  </si>
  <si>
    <t>Wyoming</t>
  </si>
  <si>
    <t>Boysen</t>
  </si>
  <si>
    <t>Bull Lake</t>
  </si>
  <si>
    <t>Pathfinder</t>
  </si>
  <si>
    <t>Pathfinder Dike</t>
  </si>
  <si>
    <t>Big Sandy Dike</t>
  </si>
  <si>
    <t>Seminoe</t>
  </si>
  <si>
    <t>Fontenelle</t>
  </si>
  <si>
    <t>Hyrum</t>
  </si>
  <si>
    <t>Utah</t>
  </si>
  <si>
    <t>Pineview</t>
  </si>
  <si>
    <t>Lost Creek</t>
  </si>
  <si>
    <t>Meeks Cabin</t>
  </si>
  <si>
    <t>Bor Stateline Summit</t>
  </si>
  <si>
    <t>Echo</t>
  </si>
  <si>
    <t>East Canyon</t>
  </si>
  <si>
    <t>Flaming Gorge</t>
  </si>
  <si>
    <t>Rock Port Lake</t>
  </si>
  <si>
    <t>Wanship</t>
  </si>
  <si>
    <t>Smith and Morehouse Reservoir</t>
  </si>
  <si>
    <t>Smith and Morehouse Dam</t>
  </si>
  <si>
    <t>Bor Jordanelle</t>
  </si>
  <si>
    <t>Red Fleet</t>
  </si>
  <si>
    <t>Moon Lake</t>
  </si>
  <si>
    <t>Steinaker</t>
  </si>
  <si>
    <t>Deer Creek</t>
  </si>
  <si>
    <t>Bor Starvation</t>
  </si>
  <si>
    <t>Williams Fork</t>
  </si>
  <si>
    <t>Colorado</t>
  </si>
  <si>
    <t>Gross</t>
  </si>
  <si>
    <t>Green Mountain</t>
  </si>
  <si>
    <t>Scofield</t>
  </si>
  <si>
    <t>Rifle Gap</t>
  </si>
  <si>
    <t>Chatfield Lake</t>
  </si>
  <si>
    <t>Chatfield Dam</t>
  </si>
  <si>
    <t>Ruedi</t>
  </si>
  <si>
    <t>Joes Valley</t>
  </si>
  <si>
    <t>Cheesman</t>
  </si>
  <si>
    <t>Antero</t>
  </si>
  <si>
    <t>Paonia</t>
  </si>
  <si>
    <t>Eleven Mile</t>
  </si>
  <si>
    <t>Eleven Mile Canyon</t>
  </si>
  <si>
    <t>Taylor Park</t>
  </si>
  <si>
    <t>Crawford</t>
  </si>
  <si>
    <t>Blue Mesa</t>
  </si>
  <si>
    <t>Lemon</t>
  </si>
  <si>
    <t>Vallecito</t>
  </si>
  <si>
    <t>Lake Powell</t>
  </si>
  <si>
    <t>Glen Canyon</t>
  </si>
  <si>
    <t>Arizona</t>
  </si>
  <si>
    <t>Navajo</t>
  </si>
  <si>
    <t>New Mexico</t>
  </si>
  <si>
    <t>Elephant Butte Reservoir</t>
  </si>
  <si>
    <t>Elephant Butte Dike</t>
  </si>
  <si>
    <t>Caballo</t>
  </si>
  <si>
    <t>Lake Sakakawea</t>
  </si>
  <si>
    <t>Garrison Dam</t>
  </si>
  <si>
    <t>North Dakota</t>
  </si>
  <si>
    <t>Jamestown</t>
  </si>
  <si>
    <t>Sandy Lake Reservoir</t>
  </si>
  <si>
    <t>Sandy Lake Dam and Lock</t>
  </si>
  <si>
    <t>Minnesota</t>
  </si>
  <si>
    <t>Belle Fourche</t>
  </si>
  <si>
    <t>South Dakota</t>
  </si>
  <si>
    <t>Lake Oahe</t>
  </si>
  <si>
    <t>Oahe Dam</t>
  </si>
  <si>
    <t>Pactola</t>
  </si>
  <si>
    <t>Deerfield</t>
  </si>
  <si>
    <t>Angostura</t>
  </si>
  <si>
    <t>Glendo</t>
  </si>
  <si>
    <t>Enders</t>
  </si>
  <si>
    <t>Nebraska</t>
  </si>
  <si>
    <t>Harry Strunk Lake</t>
  </si>
  <si>
    <t>Medicine Creek</t>
  </si>
  <si>
    <t>Hugh Butler Lake</t>
  </si>
  <si>
    <t>Red Willow</t>
  </si>
  <si>
    <t>Lovewell</t>
  </si>
  <si>
    <t>Kansas</t>
  </si>
  <si>
    <t>Cherry Creek Lake</t>
  </si>
  <si>
    <t>Cherry Creek Dam</t>
  </si>
  <si>
    <t>Blue Springs Lake</t>
  </si>
  <si>
    <t>Blue Springs Dam</t>
  </si>
  <si>
    <t>Missouri</t>
  </si>
  <si>
    <t>Longview Lake</t>
  </si>
  <si>
    <t>Longview Dam</t>
  </si>
  <si>
    <t>Melvern Lake</t>
  </si>
  <si>
    <t>Melvern Dam</t>
  </si>
  <si>
    <t>Pueblo</t>
  </si>
  <si>
    <t>Harry S. Truman Reservoir</t>
  </si>
  <si>
    <t>Harry S. Truman Dam</t>
  </si>
  <si>
    <t>El Dorado Lake</t>
  </si>
  <si>
    <t>Stockton Lake</t>
  </si>
  <si>
    <t>Stockton Dam</t>
  </si>
  <si>
    <t>Copan Lake</t>
  </si>
  <si>
    <t>Oklahoma</t>
  </si>
  <si>
    <t>Great Salt Plains Lake</t>
  </si>
  <si>
    <t>Kaw Lake</t>
  </si>
  <si>
    <t>Table Rock Lake</t>
  </si>
  <si>
    <t>Table Rock Dam</t>
  </si>
  <si>
    <t>Fort Supply Lake</t>
  </si>
  <si>
    <t>Birch Lake</t>
  </si>
  <si>
    <t>Oologah Lake</t>
  </si>
  <si>
    <t>Beaver Lake</t>
  </si>
  <si>
    <t>Beaver</t>
  </si>
  <si>
    <t>Arkansas</t>
  </si>
  <si>
    <t>Bull Shoals Lake</t>
  </si>
  <si>
    <t>Bull Shoals</t>
  </si>
  <si>
    <t>Norfork Lake</t>
  </si>
  <si>
    <t>Norfork</t>
  </si>
  <si>
    <t>Keystone Lake</t>
  </si>
  <si>
    <t>Fort Gibson Lake</t>
  </si>
  <si>
    <t>Greers Ferry Lake</t>
  </si>
  <si>
    <t>Greers Ferry</t>
  </si>
  <si>
    <t>Conchas Lake</t>
  </si>
  <si>
    <t>Conchas Dam</t>
  </si>
  <si>
    <t>Blue Mountain Lake</t>
  </si>
  <si>
    <t>Blue Mountain</t>
  </si>
  <si>
    <t>Santa Rosa Lake</t>
  </si>
  <si>
    <t>Santa Rosa Dam</t>
  </si>
  <si>
    <t>Wister Lake</t>
  </si>
  <si>
    <t>Arkabutla Lake</t>
  </si>
  <si>
    <t>Arkabutla Dam</t>
  </si>
  <si>
    <t>Mississippi</t>
  </si>
  <si>
    <t>Lake Sumner</t>
  </si>
  <si>
    <t>Sumner</t>
  </si>
  <si>
    <t>Lake Ouachita</t>
  </si>
  <si>
    <t>Blakely Mountain Dam</t>
  </si>
  <si>
    <t>Degray Lake</t>
  </si>
  <si>
    <t>Degray Dam</t>
  </si>
  <si>
    <t>Dierks Lake</t>
  </si>
  <si>
    <t>Dierks</t>
  </si>
  <si>
    <t>Lake Greeson</t>
  </si>
  <si>
    <t>Narrows Dam</t>
  </si>
  <si>
    <t>Hugo Lake</t>
  </si>
  <si>
    <t>Millwood Lake</t>
  </si>
  <si>
    <t>Millwood Dam</t>
  </si>
  <si>
    <t>Brantley</t>
  </si>
  <si>
    <t>Ross R. Barnett Reservoir</t>
  </si>
  <si>
    <t>Ross Barnett Reservoir</t>
  </si>
  <si>
    <t>Navarro Mills Dam</t>
  </si>
  <si>
    <t>Texas</t>
  </si>
  <si>
    <t>Waco Lake</t>
  </si>
  <si>
    <t>Beltzville Lake</t>
  </si>
  <si>
    <t>Beltzville Dam</t>
  </si>
  <si>
    <t>Pennsylvania</t>
  </si>
  <si>
    <t>Atwood Lake</t>
  </si>
  <si>
    <t>Atwood Dam</t>
  </si>
  <si>
    <t>Ohio</t>
  </si>
  <si>
    <t>Tappan Lake</t>
  </si>
  <si>
    <t>Tappan Dam</t>
  </si>
  <si>
    <t>Clendening Lake</t>
  </si>
  <si>
    <t>Clendening Dam</t>
  </si>
  <si>
    <t>Piedmont Lake</t>
  </si>
  <si>
    <t>Piedmont Dam</t>
  </si>
  <si>
    <t>Senecaville Lake</t>
  </si>
  <si>
    <t>Senecaville Dam</t>
  </si>
  <si>
    <t>Burr Oak Lake</t>
  </si>
  <si>
    <t>Tom Jenkins Dam</t>
  </si>
  <si>
    <t>Yatesville Lake</t>
  </si>
  <si>
    <t>Yatesville Dam</t>
  </si>
  <si>
    <t>Kentucky</t>
  </si>
  <si>
    <t>Rend Lake</t>
  </si>
  <si>
    <t>Rend Lake Dam</t>
  </si>
  <si>
    <t>Illinois</t>
  </si>
  <si>
    <t>Paintsville Lake</t>
  </si>
  <si>
    <t>Paintsville Dam</t>
  </si>
  <si>
    <t>John W. Flannagan Lake</t>
  </si>
  <si>
    <t>John W. Flannagan Dam</t>
  </si>
  <si>
    <t>Virginia</t>
  </si>
  <si>
    <t>Lake Barkley</t>
  </si>
  <si>
    <t>Barkley Dam</t>
  </si>
  <si>
    <t>Kentucky Lake</t>
  </si>
  <si>
    <t>Laurel Lake</t>
  </si>
  <si>
    <t>Laurel Dam</t>
  </si>
  <si>
    <t>Barren River Lake</t>
  </si>
  <si>
    <t>Barren River Lake Dam</t>
  </si>
  <si>
    <t>Lake Cumberland</t>
  </si>
  <si>
    <t>Wolf Creek</t>
  </si>
  <si>
    <t>John H. Kerr Reservoir</t>
  </si>
  <si>
    <t>John H. Kerr Dam</t>
  </si>
  <si>
    <t>Dale Hollow Lake</t>
  </si>
  <si>
    <t>Dale Hollow Dam</t>
  </si>
  <si>
    <t>Tennessee</t>
  </si>
  <si>
    <t>J. Percy Priest Lake</t>
  </si>
  <si>
    <t>J. Percy Priest Dam</t>
  </si>
  <si>
    <t>W. Kerr Scott Reservoir</t>
  </si>
  <si>
    <t>W. Kerr Scott Dam</t>
  </si>
  <si>
    <t>North Carolina</t>
  </si>
  <si>
    <t>Center Hill Lake</t>
  </si>
  <si>
    <t>Center Hill Dam</t>
  </si>
  <si>
    <t>Falls Lake</t>
  </si>
  <si>
    <t>Falls Lake Dam</t>
  </si>
  <si>
    <t>B. Everett Jordan Lake</t>
  </si>
  <si>
    <t>B. Everett Jordan Dam</t>
  </si>
  <si>
    <t>Sardis Lake</t>
  </si>
  <si>
    <t>Sardis Dam</t>
  </si>
  <si>
    <t>Hartwell Lake</t>
  </si>
  <si>
    <t>Hartwell Dam</t>
  </si>
  <si>
    <t>South Carolina</t>
  </si>
  <si>
    <t>Enid Lake</t>
  </si>
  <si>
    <t>Enid Dam</t>
  </si>
  <si>
    <t>Grenada Lake</t>
  </si>
  <si>
    <t>Grenada Dam</t>
  </si>
  <si>
    <t>J. Strom Thurmond Lake</t>
  </si>
  <si>
    <t>J. Strom Thurmond Dam</t>
  </si>
  <si>
    <t>Eufaula</t>
  </si>
  <si>
    <t>Walter F. George Lock and Dam</t>
  </si>
  <si>
    <t>Georgia</t>
  </si>
  <si>
    <t>Richard B. Russell Lake</t>
  </si>
  <si>
    <t>Richard B. Russell Dam</t>
  </si>
  <si>
    <t>Canyon Ferry Lake</t>
  </si>
  <si>
    <t>Canyon Ferry Dam</t>
  </si>
  <si>
    <t>NID_storage</t>
  </si>
  <si>
    <t>NID_area</t>
  </si>
  <si>
    <t>NID_height</t>
  </si>
  <si>
    <t>Keechelus Lake</t>
  </si>
  <si>
    <t>Keechelus</t>
  </si>
  <si>
    <t>Kachess Lake</t>
  </si>
  <si>
    <t>Kachess</t>
  </si>
  <si>
    <t>Bumping Lake</t>
  </si>
  <si>
    <t>Rimrock</t>
  </si>
  <si>
    <t>Tieton</t>
  </si>
  <si>
    <t>Clair Engle Lake</t>
  </si>
  <si>
    <t>Trinity</t>
  </si>
  <si>
    <t>Shasta Lake</t>
  </si>
  <si>
    <t>Shasta</t>
  </si>
  <si>
    <t>Whiskeytown</t>
  </si>
  <si>
    <t>Lake Oroville</t>
  </si>
  <si>
    <t>Oroville</t>
  </si>
  <si>
    <t>Lake Sonoma</t>
  </si>
  <si>
    <t>Warm Springs Dam</t>
  </si>
  <si>
    <t>Camanche</t>
  </si>
  <si>
    <t>New Hogan Lake</t>
  </si>
  <si>
    <t>New Hogan Dam</t>
  </si>
  <si>
    <t>New Melones</t>
  </si>
  <si>
    <t>Lake McClure</t>
  </si>
  <si>
    <t>Exchequer Main</t>
  </si>
  <si>
    <t>Lake Koocanusa</t>
  </si>
  <si>
    <t>Libby</t>
  </si>
  <si>
    <t>Thief Valley</t>
  </si>
  <si>
    <t>Oregon</t>
  </si>
  <si>
    <t>Phillips Lake</t>
  </si>
  <si>
    <t>Mason</t>
  </si>
  <si>
    <t>Unity</t>
  </si>
  <si>
    <t>Jackson Lake</t>
  </si>
  <si>
    <t>Ririe</t>
  </si>
  <si>
    <t>Idaho</t>
  </si>
  <si>
    <t>Lucky Peak Lake</t>
  </si>
  <si>
    <t>Lucky Peak</t>
  </si>
  <si>
    <t>Spinney Mountain</t>
  </si>
  <si>
    <t>Millerton Lake</t>
  </si>
  <si>
    <t>Friant</t>
  </si>
  <si>
    <t>Pine Flat Lake</t>
  </si>
  <si>
    <t>Pine Flat Dam</t>
  </si>
  <si>
    <t>Isabella Lake</t>
  </si>
  <si>
    <t>Isabella Dam</t>
  </si>
  <si>
    <t>Lake Cachuma</t>
  </si>
  <si>
    <t>Bradbury</t>
  </si>
  <si>
    <t>Caddo Lake</t>
  </si>
  <si>
    <t>Caddo Dam</t>
  </si>
  <si>
    <t>Louisiana</t>
  </si>
  <si>
    <t>dam_hgt_m_nid</t>
  </si>
  <si>
    <t>area_skm_nid</t>
  </si>
  <si>
    <t>cap_mcm_nid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</si>
</sst>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9" fontId="0" fillId="3" borderId="0" xfId="1" applyFont="1" applyFill="1"/>
    <xf numFmtId="0" fontId="0" fillId="0" borderId="0" xfId="0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6" fontId="3" fillId="0" borderId="2" xfId="0" applyNumberFormat="1" applyFont="1" applyBorder="1" applyAlignment="1">
      <alignment horizontal="center" vertical="top"/>
    </xf>
    <xf numFmtId="166" fontId="0" fillId="2" borderId="0" xfId="0" applyNumberFormat="1" applyFill="1"/>
    <xf numFmtId="166" fontId="0" fillId="0" borderId="0" xfId="0" applyNumberFormat="1"/>
    <xf numFmtId="167" fontId="3" fillId="0" borderId="2" xfId="0" applyNumberFormat="1" applyFont="1" applyBorder="1" applyAlignment="1">
      <alignment horizontal="center" vertical="top"/>
    </xf>
    <xf numFmtId="167" fontId="0" fillId="2" borderId="0" xfId="0" applyNumberFormat="1" applyFill="1"/>
    <xf numFmtId="167" fontId="0" fillId="0" borderId="0" xfId="0" applyNumberFormat="1"/>
    <xf numFmtId="166" fontId="3" fillId="0" borderId="0" xfId="0" applyNumberFormat="1" applyFont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5"/>
  <sheetViews>
    <sheetView tabSelected="1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A75" sqref="A75:XFD75"/>
    </sheetView>
  </sheetViews>
  <sheetFormatPr defaultRowHeight="14.4" x14ac:dyDescent="0.3"/>
  <cols>
    <col min="1" max="1" width="8.88671875" style="7"/>
    <col min="2" max="2" width="27.33203125" bestFit="1" customWidth="1"/>
    <col min="3" max="3" width="27.109375" bestFit="1" customWidth="1"/>
    <col min="4" max="4" width="15.109375" bestFit="1" customWidth="1"/>
    <col min="5" max="5" width="13.6640625" bestFit="1" customWidth="1"/>
    <col min="6" max="6" width="13.5546875" bestFit="1" customWidth="1"/>
    <col min="7" max="7" width="15.6640625" bestFit="1" customWidth="1"/>
    <col min="8" max="8" width="13.77734375" bestFit="1" customWidth="1"/>
    <col min="9" max="9" width="12.6640625" bestFit="1" customWidth="1"/>
    <col min="10" max="10" width="16" bestFit="1" customWidth="1"/>
    <col min="11" max="11" width="17.33203125" style="10" bestFit="1" customWidth="1"/>
    <col min="12" max="12" width="6.44140625" bestFit="1" customWidth="1"/>
    <col min="13" max="13" width="8.88671875" customWidth="1"/>
    <col min="14" max="14" width="18" style="13" bestFit="1" customWidth="1"/>
    <col min="15" max="15" width="8.88671875" customWidth="1"/>
    <col min="17" max="17" width="16.33203125" style="10" bestFit="1" customWidth="1"/>
    <col min="18" max="18" width="8.88671875" customWidth="1"/>
  </cols>
  <sheetData>
    <row r="1" spans="1:18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244</v>
      </c>
      <c r="K1" s="8" t="s">
        <v>295</v>
      </c>
      <c r="L1" s="2"/>
      <c r="M1" s="2" t="s">
        <v>245</v>
      </c>
      <c r="N1" s="11" t="s">
        <v>294</v>
      </c>
      <c r="O1" s="2"/>
      <c r="P1" s="2" t="s">
        <v>246</v>
      </c>
      <c r="Q1" s="14" t="s">
        <v>293</v>
      </c>
      <c r="R1" s="3"/>
    </row>
    <row r="2" spans="1:18" x14ac:dyDescent="0.3">
      <c r="A2" s="6">
        <v>789</v>
      </c>
      <c r="B2" t="s">
        <v>91</v>
      </c>
      <c r="C2" t="s">
        <v>92</v>
      </c>
      <c r="D2" t="s">
        <v>93</v>
      </c>
      <c r="E2">
        <v>145.6</v>
      </c>
      <c r="F2">
        <v>29.802</v>
      </c>
      <c r="G2">
        <v>7</v>
      </c>
      <c r="H2">
        <v>373</v>
      </c>
      <c r="I2">
        <v>0.94171654412395833</v>
      </c>
      <c r="J2">
        <v>79400</v>
      </c>
      <c r="K2" s="9">
        <f>J2*0.00123348</f>
        <v>97.938311999999996</v>
      </c>
      <c r="L2" s="4">
        <f>(K2-E2)/E2</f>
        <v>-0.32734675824175824</v>
      </c>
      <c r="M2">
        <v>9400</v>
      </c>
      <c r="N2" s="12">
        <f>M2*0.00404686</f>
        <v>38.040483999999999</v>
      </c>
      <c r="O2" s="4">
        <f>(N2-F2)/F2</f>
        <v>0.27644064156768</v>
      </c>
      <c r="P2">
        <v>22</v>
      </c>
      <c r="Q2" s="9">
        <f>P2*0.3048</f>
        <v>6.7056000000000004</v>
      </c>
      <c r="R2" s="4">
        <f>(Q2-G2)/G2</f>
        <v>-4.2057142857142793E-2</v>
      </c>
    </row>
    <row r="3" spans="1:18" x14ac:dyDescent="0.3">
      <c r="A3" s="6">
        <v>361</v>
      </c>
      <c r="B3" t="s">
        <v>271</v>
      </c>
      <c r="C3" t="s">
        <v>271</v>
      </c>
      <c r="D3" t="s">
        <v>272</v>
      </c>
      <c r="E3">
        <v>21.7</v>
      </c>
      <c r="F3">
        <v>3.3</v>
      </c>
      <c r="G3">
        <v>22</v>
      </c>
      <c r="H3">
        <v>958</v>
      </c>
      <c r="J3">
        <v>13307</v>
      </c>
      <c r="K3" s="9">
        <f>J3*0.00123348</f>
        <v>16.41391836</v>
      </c>
      <c r="L3" s="4">
        <f>(K3-E3)/E3</f>
        <v>-0.24359823225806448</v>
      </c>
      <c r="M3">
        <v>807</v>
      </c>
      <c r="N3" s="12">
        <f>M3*0.00404686</f>
        <v>3.2658160200000004</v>
      </c>
      <c r="O3" s="4">
        <f>(N3-F3)/F3</f>
        <v>-1.0358781818181652E-2</v>
      </c>
      <c r="P3">
        <v>73</v>
      </c>
      <c r="Q3" s="9">
        <f>P3*0.3048</f>
        <v>22.250400000000003</v>
      </c>
      <c r="R3" s="4">
        <f>(Q3-G3)/G3</f>
        <v>1.13818181818183E-2</v>
      </c>
    </row>
    <row r="4" spans="1:18" x14ac:dyDescent="0.3">
      <c r="A4" s="6">
        <v>355</v>
      </c>
      <c r="B4" t="s">
        <v>25</v>
      </c>
      <c r="C4" t="s">
        <v>26</v>
      </c>
      <c r="D4" t="s">
        <v>17</v>
      </c>
      <c r="E4">
        <v>1760.6</v>
      </c>
      <c r="F4">
        <v>72.67</v>
      </c>
      <c r="G4">
        <v>160</v>
      </c>
      <c r="H4">
        <v>1116</v>
      </c>
      <c r="I4">
        <v>0.66777785784895471</v>
      </c>
      <c r="J4">
        <v>1331725</v>
      </c>
      <c r="K4" s="9">
        <f>J4*0.00123348</f>
        <v>1642.6561529999999</v>
      </c>
      <c r="L4" s="4">
        <f>(K4-E4)/E4</f>
        <v>-6.6990711689196875E-2</v>
      </c>
      <c r="M4">
        <v>17958</v>
      </c>
      <c r="N4" s="12">
        <f>M4*0.00404686</f>
        <v>72.673511880000007</v>
      </c>
      <c r="O4" s="4">
        <f>(N4-F4)/F4</f>
        <v>4.83264070456159E-5</v>
      </c>
      <c r="P4">
        <v>525</v>
      </c>
      <c r="Q4" s="9">
        <f>P4*0.3048</f>
        <v>160.02000000000001</v>
      </c>
      <c r="R4" s="4">
        <f>(Q4-G4)/G4</f>
        <v>1.2500000000006394E-4</v>
      </c>
    </row>
    <row r="5" spans="1:18" x14ac:dyDescent="0.3">
      <c r="A5" s="6">
        <v>416</v>
      </c>
      <c r="B5" t="s">
        <v>35</v>
      </c>
      <c r="C5" t="s">
        <v>36</v>
      </c>
      <c r="D5" t="s">
        <v>32</v>
      </c>
      <c r="E5">
        <v>1319.8</v>
      </c>
      <c r="F5">
        <v>75.194000000000003</v>
      </c>
      <c r="G5">
        <v>65</v>
      </c>
      <c r="H5">
        <v>1786</v>
      </c>
      <c r="I5">
        <v>0.61674489782293551</v>
      </c>
      <c r="J5">
        <v>1016500</v>
      </c>
      <c r="K5" s="9">
        <f>J5*0.00123348</f>
        <v>1253.83242</v>
      </c>
      <c r="L5" s="4">
        <f>(K5-E5)/E5</f>
        <v>-4.9983012577663286E-2</v>
      </c>
      <c r="M5">
        <v>22014</v>
      </c>
      <c r="N5" s="12">
        <f>M5*0.00404686</f>
        <v>89.087576040000002</v>
      </c>
      <c r="O5" s="4">
        <f>(N5-F5)/F5</f>
        <v>0.18476974279862754</v>
      </c>
      <c r="P5">
        <v>214</v>
      </c>
      <c r="Q5" s="9">
        <f>P5*0.3048</f>
        <v>65.227199999999996</v>
      </c>
      <c r="R5" s="4">
        <f>(Q5-G5)/G5</f>
        <v>3.4953846153845582E-3</v>
      </c>
    </row>
    <row r="6" spans="1:18" x14ac:dyDescent="0.3">
      <c r="A6" s="6">
        <v>497</v>
      </c>
      <c r="C6" t="s">
        <v>59</v>
      </c>
      <c r="D6" t="s">
        <v>60</v>
      </c>
      <c r="E6">
        <v>125.3</v>
      </c>
      <c r="F6">
        <v>5.351</v>
      </c>
      <c r="G6">
        <v>64</v>
      </c>
      <c r="H6">
        <v>2379</v>
      </c>
      <c r="I6">
        <v>0.7198562925673504</v>
      </c>
      <c r="J6">
        <v>96800</v>
      </c>
      <c r="K6" s="9">
        <f>J6*0.00123348</f>
        <v>119.40086399999998</v>
      </c>
      <c r="L6" s="4">
        <f>(K6-E6)/E6</f>
        <v>-4.7080095770151736E-2</v>
      </c>
      <c r="M6">
        <v>1700</v>
      </c>
      <c r="N6" s="12">
        <f>M6*0.00404686</f>
        <v>6.8796620000000006</v>
      </c>
      <c r="O6" s="4">
        <f>(N6-F6)/F6</f>
        <v>0.28567781723042435</v>
      </c>
      <c r="P6">
        <v>209</v>
      </c>
      <c r="Q6" s="9">
        <f>P6*0.3048</f>
        <v>63.703200000000002</v>
      </c>
      <c r="R6" s="4">
        <f>(Q6-G6)/G6</f>
        <v>-4.6374999999999611E-3</v>
      </c>
    </row>
    <row r="7" spans="1:18" x14ac:dyDescent="0.3">
      <c r="A7" s="6">
        <v>423</v>
      </c>
      <c r="B7" t="s">
        <v>39</v>
      </c>
      <c r="C7" t="s">
        <v>39</v>
      </c>
      <c r="D7" t="s">
        <v>32</v>
      </c>
      <c r="E7">
        <v>426</v>
      </c>
      <c r="F7">
        <v>31.367000000000001</v>
      </c>
      <c r="G7">
        <v>42</v>
      </c>
      <c r="H7">
        <v>1987</v>
      </c>
      <c r="I7">
        <v>0.82030450255922049</v>
      </c>
      <c r="J7">
        <v>334411</v>
      </c>
      <c r="K7" s="9">
        <f>J7*0.00123348</f>
        <v>412.48928027999995</v>
      </c>
      <c r="L7" s="4">
        <f>(K7-E7)/E7</f>
        <v>-3.171530450704238E-2</v>
      </c>
      <c r="M7">
        <v>8058</v>
      </c>
      <c r="N7" s="12">
        <f>M7*0.00404686</f>
        <v>32.609597880000003</v>
      </c>
      <c r="O7" s="4">
        <f>(N7-F7)/F7</f>
        <v>3.9614814295278529E-2</v>
      </c>
      <c r="P7">
        <v>139</v>
      </c>
      <c r="Q7" s="9">
        <f>P7*0.3048</f>
        <v>42.367200000000004</v>
      </c>
      <c r="R7" s="4">
        <f>(Q7-G7)/G7</f>
        <v>8.7428571428572379E-3</v>
      </c>
    </row>
    <row r="8" spans="1:18" x14ac:dyDescent="0.3">
      <c r="A8" s="6">
        <v>500</v>
      </c>
      <c r="C8" t="s">
        <v>61</v>
      </c>
      <c r="D8" t="s">
        <v>60</v>
      </c>
      <c r="E8">
        <v>58.6</v>
      </c>
      <c r="F8">
        <v>1.2230000000000001</v>
      </c>
      <c r="G8">
        <v>104</v>
      </c>
      <c r="H8">
        <v>2222</v>
      </c>
      <c r="I8">
        <v>-0.5129786780788641</v>
      </c>
      <c r="J8">
        <v>46200</v>
      </c>
      <c r="K8" s="9">
        <f>J8*0.00123348</f>
        <v>56.986775999999999</v>
      </c>
      <c r="L8" s="4">
        <f>(K8-E8)/E8</f>
        <v>-2.7529419795221884E-2</v>
      </c>
      <c r="M8">
        <v>413</v>
      </c>
      <c r="N8" s="12">
        <f>M8*0.00404686</f>
        <v>1.6713531800000001</v>
      </c>
      <c r="O8" s="4">
        <f>(N8-F8)/F8</f>
        <v>0.36660112837285364</v>
      </c>
      <c r="P8">
        <v>350</v>
      </c>
      <c r="Q8" s="9">
        <f>P8*0.3048</f>
        <v>106.68</v>
      </c>
      <c r="R8" s="4">
        <f>(Q8-G8)/G8</f>
        <v>2.5769230769230836E-2</v>
      </c>
    </row>
    <row r="9" spans="1:18" x14ac:dyDescent="0.3">
      <c r="A9" s="6">
        <v>57</v>
      </c>
      <c r="B9" t="s">
        <v>249</v>
      </c>
      <c r="C9" t="s">
        <v>250</v>
      </c>
      <c r="D9" t="s">
        <v>10</v>
      </c>
      <c r="E9">
        <v>302.2</v>
      </c>
      <c r="F9">
        <v>18.600000000000001</v>
      </c>
      <c r="G9">
        <v>35</v>
      </c>
      <c r="H9">
        <v>686</v>
      </c>
      <c r="J9">
        <v>239000</v>
      </c>
      <c r="K9" s="9">
        <f>J9*0.00123348</f>
        <v>294.80171999999999</v>
      </c>
      <c r="L9" s="4">
        <f>(K9-E9)/E9</f>
        <v>-2.4481403044341495E-2</v>
      </c>
      <c r="M9">
        <v>4535</v>
      </c>
      <c r="N9" s="12">
        <f>M9*0.00404686</f>
        <v>18.3525101</v>
      </c>
      <c r="O9" s="4">
        <f>(N9-F9)/F9</f>
        <v>-1.3305908602150616E-2</v>
      </c>
      <c r="P9">
        <v>115</v>
      </c>
      <c r="Q9" s="9">
        <f>P9*0.3048</f>
        <v>35.052</v>
      </c>
      <c r="R9" s="4">
        <f>(Q9-G9)/G9</f>
        <v>1.4857142857142742E-3</v>
      </c>
    </row>
    <row r="10" spans="1:18" x14ac:dyDescent="0.3">
      <c r="A10" s="6">
        <v>938</v>
      </c>
      <c r="B10" t="s">
        <v>104</v>
      </c>
      <c r="C10" t="s">
        <v>105</v>
      </c>
      <c r="D10" t="s">
        <v>103</v>
      </c>
      <c r="E10">
        <v>239.4</v>
      </c>
      <c r="F10">
        <v>5.5510000000000002</v>
      </c>
      <c r="G10">
        <v>50</v>
      </c>
      <c r="H10">
        <v>736</v>
      </c>
      <c r="I10">
        <v>0.50404213507651341</v>
      </c>
      <c r="J10">
        <v>193020</v>
      </c>
      <c r="K10" s="9">
        <f>J10*0.00123348</f>
        <v>238.08630959999999</v>
      </c>
      <c r="L10" s="4">
        <f>(K10-E10)/E10</f>
        <v>-5.4874285714286248E-3</v>
      </c>
      <c r="M10">
        <v>5793</v>
      </c>
      <c r="N10" s="12">
        <f>M10*0.00404686</f>
        <v>23.44345998</v>
      </c>
      <c r="O10" s="4">
        <f>(N10-F10)/F10</f>
        <v>3.2232858908304807</v>
      </c>
      <c r="P10">
        <v>165</v>
      </c>
      <c r="Q10" s="9">
        <f>P10*0.3048</f>
        <v>50.292000000000002</v>
      </c>
      <c r="R10" s="4">
        <f>(Q10-G10)/G10</f>
        <v>5.8400000000000318E-3</v>
      </c>
    </row>
    <row r="11" spans="1:18" x14ac:dyDescent="0.3">
      <c r="A11" s="6">
        <v>597</v>
      </c>
      <c r="B11" t="s">
        <v>79</v>
      </c>
      <c r="C11" t="s">
        <v>80</v>
      </c>
      <c r="D11" t="s">
        <v>81</v>
      </c>
      <c r="E11">
        <v>31034.400000000001</v>
      </c>
      <c r="F11">
        <v>120.798</v>
      </c>
      <c r="G11">
        <v>216</v>
      </c>
      <c r="H11">
        <v>1132</v>
      </c>
      <c r="I11">
        <v>0.4867621866602404</v>
      </c>
      <c r="J11">
        <v>25025826</v>
      </c>
      <c r="K11" s="9">
        <f>J11*0.00123348</f>
        <v>30868.855854479996</v>
      </c>
      <c r="L11" s="4">
        <f>(K11-E11)/E11</f>
        <v>-5.3342144691054198E-3</v>
      </c>
      <c r="M11">
        <v>160784</v>
      </c>
      <c r="N11" s="12">
        <f>M11*0.00404686</f>
        <v>650.67033823999998</v>
      </c>
      <c r="O11" s="4">
        <f>(N11-F11)/F11</f>
        <v>4.3864330389575983</v>
      </c>
      <c r="P11">
        <v>710</v>
      </c>
      <c r="Q11" s="9">
        <f>P11*0.3048</f>
        <v>216.40800000000002</v>
      </c>
      <c r="R11" s="4">
        <f>(Q11-G11)/G11</f>
        <v>1.8888888888889605E-3</v>
      </c>
    </row>
    <row r="12" spans="1:18" x14ac:dyDescent="0.3">
      <c r="A12" s="6">
        <v>458</v>
      </c>
      <c r="B12" t="s">
        <v>51</v>
      </c>
      <c r="C12" t="s">
        <v>52</v>
      </c>
      <c r="D12" t="s">
        <v>41</v>
      </c>
      <c r="E12">
        <v>13</v>
      </c>
      <c r="F12">
        <v>0.6</v>
      </c>
      <c r="G12">
        <v>28</v>
      </c>
      <c r="H12">
        <v>2347</v>
      </c>
      <c r="I12">
        <v>0.80520461784477082</v>
      </c>
      <c r="J12">
        <v>10500</v>
      </c>
      <c r="K12" s="9">
        <f>J12*0.00123348</f>
        <v>12.95154</v>
      </c>
      <c r="L12" s="4">
        <f>(K12-E12)/E12</f>
        <v>-3.7276923076923377E-3</v>
      </c>
      <c r="N12" s="12">
        <f>M12*0.00404686</f>
        <v>0</v>
      </c>
      <c r="O12" s="4">
        <f>(N12-F12)/F12</f>
        <v>-1</v>
      </c>
      <c r="P12">
        <v>92</v>
      </c>
      <c r="Q12" s="9">
        <f>P12*0.3048</f>
        <v>28.041600000000003</v>
      </c>
      <c r="R12" s="4">
        <f>(Q12-G12)/G12</f>
        <v>1.4857142857143759E-3</v>
      </c>
    </row>
    <row r="13" spans="1:18" x14ac:dyDescent="0.3">
      <c r="A13" s="6">
        <v>448</v>
      </c>
      <c r="C13" t="s">
        <v>45</v>
      </c>
      <c r="D13" t="s">
        <v>41</v>
      </c>
      <c r="E13">
        <v>19.7</v>
      </c>
      <c r="F13">
        <v>0.69399999999999995</v>
      </c>
      <c r="G13">
        <v>44</v>
      </c>
      <c r="H13">
        <v>2797</v>
      </c>
      <c r="I13">
        <v>0.96695888730893598</v>
      </c>
      <c r="J13">
        <v>15932</v>
      </c>
      <c r="K13" s="9">
        <f>J13*0.00123348</f>
        <v>19.651803359999999</v>
      </c>
      <c r="L13" s="4">
        <f>(K13-E13)/E13</f>
        <v>-2.446529949238602E-3</v>
      </c>
      <c r="M13">
        <v>306</v>
      </c>
      <c r="N13" s="12">
        <f>M13*0.00404686</f>
        <v>1.23833916</v>
      </c>
      <c r="O13" s="4">
        <f>(N13-F13)/F13</f>
        <v>0.78435037463976953</v>
      </c>
      <c r="P13">
        <v>143</v>
      </c>
      <c r="Q13" s="9">
        <f>P13*0.3048</f>
        <v>43.586400000000005</v>
      </c>
      <c r="R13" s="4">
        <f>(Q13-G13)/G13</f>
        <v>-9.3999999999998928E-3</v>
      </c>
    </row>
    <row r="14" spans="1:18" x14ac:dyDescent="0.3">
      <c r="A14" s="6">
        <v>541</v>
      </c>
      <c r="B14" t="s">
        <v>76</v>
      </c>
      <c r="C14" t="s">
        <v>76</v>
      </c>
      <c r="D14" t="s">
        <v>60</v>
      </c>
      <c r="E14">
        <v>1160.3</v>
      </c>
      <c r="F14">
        <v>30.256</v>
      </c>
      <c r="G14">
        <v>119</v>
      </c>
      <c r="H14">
        <v>2288</v>
      </c>
      <c r="I14">
        <v>0.48830940913250681</v>
      </c>
      <c r="J14">
        <v>938469</v>
      </c>
      <c r="K14" s="9">
        <f>J14*0.00123348</f>
        <v>1157.5827421199999</v>
      </c>
      <c r="L14" s="4">
        <f>(K14-E14)/E14</f>
        <v>-2.3418580367146721E-3</v>
      </c>
      <c r="M14">
        <v>9180</v>
      </c>
      <c r="N14" s="12">
        <f>M14*0.00404686</f>
        <v>37.150174800000002</v>
      </c>
      <c r="O14" s="4">
        <f>(N14-F14)/F14</f>
        <v>0.22786140930724491</v>
      </c>
      <c r="P14">
        <v>390</v>
      </c>
      <c r="Q14" s="9">
        <f>P14*0.3048</f>
        <v>118.872</v>
      </c>
      <c r="R14" s="4">
        <f>(Q14-G14)/G14</f>
        <v>-1.0756302521008412E-3</v>
      </c>
    </row>
    <row r="15" spans="1:18" x14ac:dyDescent="0.3">
      <c r="A15" s="6">
        <v>531</v>
      </c>
      <c r="B15" t="s">
        <v>71</v>
      </c>
      <c r="C15" t="s">
        <v>71</v>
      </c>
      <c r="D15" t="s">
        <v>60</v>
      </c>
      <c r="E15">
        <v>28.7</v>
      </c>
      <c r="F15">
        <v>1.4450000000000001</v>
      </c>
      <c r="G15">
        <v>61</v>
      </c>
      <c r="H15">
        <v>1969</v>
      </c>
      <c r="I15">
        <v>0.37473683112073353</v>
      </c>
      <c r="J15">
        <v>23230</v>
      </c>
      <c r="K15" s="9">
        <f>J15*0.00123348</f>
        <v>28.653740399999997</v>
      </c>
      <c r="L15" s="4">
        <f>(K15-E15)/E15</f>
        <v>-1.6118327526133318E-3</v>
      </c>
      <c r="M15">
        <v>357</v>
      </c>
      <c r="N15" s="12">
        <f>M15*0.00404686</f>
        <v>1.44472902</v>
      </c>
      <c r="O15" s="4">
        <f>(N15-F15)/F15</f>
        <v>-1.8752941176472784E-4</v>
      </c>
      <c r="P15">
        <v>199</v>
      </c>
      <c r="Q15" s="9">
        <f>P15*0.3048</f>
        <v>60.655200000000001</v>
      </c>
      <c r="R15" s="4">
        <f>(Q15-G15)/G15</f>
        <v>-5.6524590163934321E-3</v>
      </c>
    </row>
    <row r="16" spans="1:18" x14ac:dyDescent="0.3">
      <c r="A16" s="6">
        <v>372</v>
      </c>
      <c r="B16" t="s">
        <v>275</v>
      </c>
      <c r="C16" t="s">
        <v>275</v>
      </c>
      <c r="D16" t="s">
        <v>272</v>
      </c>
      <c r="E16">
        <v>31.5</v>
      </c>
      <c r="F16">
        <v>3.9</v>
      </c>
      <c r="G16">
        <v>25</v>
      </c>
      <c r="H16">
        <v>1167</v>
      </c>
      <c r="J16">
        <v>25500</v>
      </c>
      <c r="K16" s="9">
        <f>J16*0.00123348</f>
        <v>31.453739999999996</v>
      </c>
      <c r="L16" s="4">
        <f>(K16-E16)/E16</f>
        <v>-1.4685714285715473E-3</v>
      </c>
      <c r="M16">
        <v>960</v>
      </c>
      <c r="N16" s="12">
        <f>M16*0.00404686</f>
        <v>3.8849856000000003</v>
      </c>
      <c r="O16" s="4">
        <f>(N16-F16)/F16</f>
        <v>-3.8498461538460644E-3</v>
      </c>
      <c r="P16">
        <v>82</v>
      </c>
      <c r="Q16" s="9">
        <f>P16*0.3048</f>
        <v>24.993600000000001</v>
      </c>
      <c r="R16" s="4">
        <f>(Q16-G16)/G16</f>
        <v>-2.559999999999718E-4</v>
      </c>
    </row>
    <row r="17" spans="1:18" x14ac:dyDescent="0.3">
      <c r="A17" s="6">
        <v>469</v>
      </c>
      <c r="B17" t="s">
        <v>54</v>
      </c>
      <c r="C17" t="s">
        <v>54</v>
      </c>
      <c r="D17" t="s">
        <v>41</v>
      </c>
      <c r="E17">
        <v>32.1</v>
      </c>
      <c r="F17">
        <v>1.4019999999999999</v>
      </c>
      <c r="G17">
        <v>53</v>
      </c>
      <c r="H17">
        <v>1709</v>
      </c>
      <c r="I17">
        <v>0.81477237970563055</v>
      </c>
      <c r="J17">
        <v>26000</v>
      </c>
      <c r="K17" s="9">
        <f>J17*0.00123348</f>
        <v>32.070479999999996</v>
      </c>
      <c r="L17" s="4">
        <f>(K17-E17)/E17</f>
        <v>-9.196261682244578E-4</v>
      </c>
      <c r="M17">
        <v>521</v>
      </c>
      <c r="N17" s="12">
        <f>M17*0.00404686</f>
        <v>2.1084140600000003</v>
      </c>
      <c r="O17" s="4">
        <f>(N17-F17)/F17</f>
        <v>0.5038616690442228</v>
      </c>
      <c r="P17">
        <v>161</v>
      </c>
      <c r="Q17" s="9">
        <f>P17*0.3048</f>
        <v>49.072800000000001</v>
      </c>
      <c r="R17" s="4">
        <f>(Q17-G17)/G17</f>
        <v>-7.4098113207547153E-2</v>
      </c>
    </row>
    <row r="18" spans="1:18" x14ac:dyDescent="0.3">
      <c r="A18" s="6">
        <v>974</v>
      </c>
      <c r="B18" t="s">
        <v>115</v>
      </c>
      <c r="C18" t="s">
        <v>116</v>
      </c>
      <c r="D18" t="s">
        <v>114</v>
      </c>
      <c r="E18">
        <v>57.9</v>
      </c>
      <c r="F18">
        <v>3.76</v>
      </c>
      <c r="G18">
        <v>38</v>
      </c>
      <c r="H18">
        <v>281</v>
      </c>
      <c r="I18">
        <v>0.77562210160767153</v>
      </c>
      <c r="J18">
        <v>46900</v>
      </c>
      <c r="K18" s="9">
        <f>J18*0.00123348</f>
        <v>57.850211999999999</v>
      </c>
      <c r="L18" s="4">
        <f>(K18-E18)/E18</f>
        <v>-8.598963730569862E-4</v>
      </c>
      <c r="M18">
        <v>930</v>
      </c>
      <c r="N18" s="12">
        <f>M18*0.00404686</f>
        <v>3.7635798</v>
      </c>
      <c r="O18" s="4">
        <f>(N18-F18)/F18</f>
        <v>9.5207446808517134E-4</v>
      </c>
      <c r="P18">
        <v>125</v>
      </c>
      <c r="Q18" s="9">
        <f>P18*0.3048</f>
        <v>38.1</v>
      </c>
      <c r="R18" s="4">
        <f>(Q18-G18)/G18</f>
        <v>2.6315789473684583E-3</v>
      </c>
    </row>
    <row r="19" spans="1:18" x14ac:dyDescent="0.3">
      <c r="A19" s="6">
        <v>60</v>
      </c>
      <c r="B19" t="s">
        <v>251</v>
      </c>
      <c r="C19" t="s">
        <v>251</v>
      </c>
      <c r="D19" t="s">
        <v>10</v>
      </c>
      <c r="E19">
        <v>43.7</v>
      </c>
      <c r="F19">
        <v>5.3</v>
      </c>
      <c r="G19">
        <v>19</v>
      </c>
      <c r="H19">
        <v>1040</v>
      </c>
      <c r="J19">
        <v>35400</v>
      </c>
      <c r="K19" s="9">
        <f>J19*0.00123348</f>
        <v>43.665191999999998</v>
      </c>
      <c r="L19" s="4">
        <f>(K19-E19)/E19</f>
        <v>-7.9652173913055549E-4</v>
      </c>
      <c r="M19">
        <v>1303</v>
      </c>
      <c r="N19" s="12">
        <f>M19*0.00404686</f>
        <v>5.2730585800000007</v>
      </c>
      <c r="O19" s="4">
        <f>(N19-F19)/F19</f>
        <v>-5.0832867924526619E-3</v>
      </c>
      <c r="P19">
        <v>61</v>
      </c>
      <c r="Q19" s="9">
        <f>P19*0.3048</f>
        <v>18.5928</v>
      </c>
      <c r="R19" s="4">
        <f>(Q19-G19)/G19</f>
        <v>-2.1431578947368399E-2</v>
      </c>
    </row>
    <row r="20" spans="1:18" x14ac:dyDescent="0.3">
      <c r="A20" s="6">
        <v>1650</v>
      </c>
      <c r="B20" t="s">
        <v>188</v>
      </c>
      <c r="C20" t="s">
        <v>189</v>
      </c>
      <c r="D20" t="s">
        <v>179</v>
      </c>
      <c r="E20">
        <v>33.200000000000003</v>
      </c>
      <c r="F20">
        <v>2.3769999999999998</v>
      </c>
      <c r="G20" s="5">
        <v>26</v>
      </c>
      <c r="H20">
        <v>224</v>
      </c>
      <c r="I20">
        <v>0.1160143609595732</v>
      </c>
      <c r="J20">
        <v>26900</v>
      </c>
      <c r="K20" s="9">
        <f>J20*0.00123348</f>
        <v>33.180611999999996</v>
      </c>
      <c r="L20" s="4">
        <f>(K20-E20)/E20</f>
        <v>-5.8397590361465058E-4</v>
      </c>
      <c r="M20">
        <v>664</v>
      </c>
      <c r="N20" s="12">
        <f>M20*0.00404686</f>
        <v>2.6871150400000001</v>
      </c>
      <c r="O20" s="4">
        <f>(N20-F20)/F20</f>
        <v>0.13046488851493496</v>
      </c>
      <c r="P20">
        <v>84</v>
      </c>
      <c r="Q20" s="9">
        <f>P20*0.3048</f>
        <v>25.603200000000001</v>
      </c>
      <c r="R20" s="4">
        <f>(Q20-G20)/G20</f>
        <v>-1.526153846153842E-2</v>
      </c>
    </row>
    <row r="21" spans="1:18" x14ac:dyDescent="0.3">
      <c r="A21" s="6">
        <v>1723</v>
      </c>
      <c r="B21" t="s">
        <v>196</v>
      </c>
      <c r="C21" t="s">
        <v>197</v>
      </c>
      <c r="D21" t="s">
        <v>192</v>
      </c>
      <c r="E21">
        <v>90.7</v>
      </c>
      <c r="F21">
        <v>1.175</v>
      </c>
      <c r="G21">
        <v>49</v>
      </c>
      <c r="H21">
        <v>219</v>
      </c>
      <c r="I21">
        <v>0.74558453964196136</v>
      </c>
      <c r="J21">
        <v>73500</v>
      </c>
      <c r="K21" s="9">
        <f>J21*0.00123348</f>
        <v>90.660779999999988</v>
      </c>
      <c r="L21" s="4">
        <f>(K21-E21)/E21</f>
        <v>-4.3241455347314736E-4</v>
      </c>
      <c r="M21">
        <v>1139</v>
      </c>
      <c r="N21" s="12">
        <f>M21*0.00404686</f>
        <v>4.60937354</v>
      </c>
      <c r="O21" s="4">
        <f>(N21-F21)/F21</f>
        <v>2.9228710978723407</v>
      </c>
      <c r="P21">
        <v>160</v>
      </c>
      <c r="Q21" s="9">
        <f>P21*0.3048</f>
        <v>48.768000000000001</v>
      </c>
      <c r="R21" s="4">
        <f>(Q21-G21)/G21</f>
        <v>-4.7346938775510066E-3</v>
      </c>
    </row>
    <row r="22" spans="1:18" x14ac:dyDescent="0.3">
      <c r="A22" s="6">
        <v>1636</v>
      </c>
      <c r="B22" t="s">
        <v>186</v>
      </c>
      <c r="C22" t="s">
        <v>187</v>
      </c>
      <c r="D22" t="s">
        <v>179</v>
      </c>
      <c r="E22">
        <v>109.2</v>
      </c>
      <c r="F22">
        <v>13.785</v>
      </c>
      <c r="G22">
        <v>14</v>
      </c>
      <c r="H22">
        <v>251</v>
      </c>
      <c r="I22">
        <v>0.98588343552941493</v>
      </c>
      <c r="J22">
        <v>88500</v>
      </c>
      <c r="K22" s="9">
        <f>J22*0.00123348</f>
        <v>109.16297999999999</v>
      </c>
      <c r="L22" s="4">
        <f>(K22-E22)/E22</f>
        <v>-3.3901098901110337E-4</v>
      </c>
      <c r="M22">
        <v>3550</v>
      </c>
      <c r="N22" s="12">
        <f>M22*0.00404686</f>
        <v>14.366353</v>
      </c>
      <c r="O22" s="4">
        <f>(N22-F22)/F22</f>
        <v>4.217286906057309E-2</v>
      </c>
      <c r="P22">
        <v>45</v>
      </c>
      <c r="Q22" s="9">
        <f>P22*0.3048</f>
        <v>13.716000000000001</v>
      </c>
      <c r="R22" s="4">
        <f>(Q22-G22)/G22</f>
        <v>-2.0285714285714209E-2</v>
      </c>
    </row>
    <row r="23" spans="1:18" x14ac:dyDescent="0.3">
      <c r="A23" s="6">
        <v>1620</v>
      </c>
      <c r="B23" t="s">
        <v>184</v>
      </c>
      <c r="C23" t="s">
        <v>185</v>
      </c>
      <c r="D23" t="s">
        <v>179</v>
      </c>
      <c r="E23">
        <v>82.3</v>
      </c>
      <c r="F23">
        <v>8.4670000000000005</v>
      </c>
      <c r="G23">
        <v>17</v>
      </c>
      <c r="H23">
        <v>286</v>
      </c>
      <c r="I23">
        <v>0.95371235538074273</v>
      </c>
      <c r="J23">
        <v>66700</v>
      </c>
      <c r="K23" s="9">
        <f>J23*0.00123348</f>
        <v>82.273115999999987</v>
      </c>
      <c r="L23" s="4">
        <f>(K23-E23)/E23</f>
        <v>-3.2665856622125978E-4</v>
      </c>
      <c r="M23">
        <v>2312</v>
      </c>
      <c r="N23" s="12">
        <f>M23*0.00404686</f>
        <v>9.356340320000001</v>
      </c>
      <c r="O23" s="4">
        <f>(N23-F23)/F23</f>
        <v>0.10503605999763795</v>
      </c>
      <c r="P23">
        <v>56</v>
      </c>
      <c r="Q23" s="9">
        <f>P23*0.3048</f>
        <v>17.0688</v>
      </c>
      <c r="R23" s="4">
        <f>(Q23-G23)/G23</f>
        <v>4.0470588235293837E-3</v>
      </c>
    </row>
    <row r="24" spans="1:18" x14ac:dyDescent="0.3">
      <c r="A24" s="6">
        <v>384</v>
      </c>
      <c r="B24" t="s">
        <v>276</v>
      </c>
      <c r="C24" t="s">
        <v>276</v>
      </c>
      <c r="D24" t="s">
        <v>32</v>
      </c>
      <c r="E24">
        <v>1076.8</v>
      </c>
      <c r="F24">
        <v>103.3</v>
      </c>
      <c r="G24">
        <v>26</v>
      </c>
      <c r="H24">
        <v>2065</v>
      </c>
      <c r="J24">
        <v>872700</v>
      </c>
      <c r="K24" s="9">
        <f>J24*0.00123348</f>
        <v>1076.4579959999999</v>
      </c>
      <c r="L24" s="4">
        <f>(K24-E24)/E24</f>
        <v>-3.1761144130765988E-4</v>
      </c>
      <c r="M24">
        <v>25540</v>
      </c>
      <c r="N24" s="12">
        <f>M24*0.00404686</f>
        <v>103.3568044</v>
      </c>
      <c r="O24" s="4">
        <f>(N24-F24)/F24</f>
        <v>5.4989738625367188E-4</v>
      </c>
      <c r="P24">
        <v>84</v>
      </c>
      <c r="Q24" s="9">
        <f>P24*0.3048</f>
        <v>25.603200000000001</v>
      </c>
      <c r="R24" s="4">
        <f>(Q24-G24)/G24</f>
        <v>-1.526153846153842E-2</v>
      </c>
    </row>
    <row r="25" spans="1:18" x14ac:dyDescent="0.3">
      <c r="A25" s="6">
        <v>368</v>
      </c>
      <c r="C25" t="s">
        <v>30</v>
      </c>
      <c r="D25" t="s">
        <v>17</v>
      </c>
      <c r="E25">
        <v>164.1</v>
      </c>
      <c r="F25">
        <v>14.348000000000001</v>
      </c>
      <c r="G25">
        <v>17</v>
      </c>
      <c r="H25">
        <v>2003</v>
      </c>
      <c r="I25">
        <v>0.99523529258157672</v>
      </c>
      <c r="J25">
        <v>133000</v>
      </c>
      <c r="K25" s="9">
        <f>J25*0.00123348</f>
        <v>164.05283999999997</v>
      </c>
      <c r="L25" s="4">
        <f>(K25-E25)/E25</f>
        <v>-2.8738574040231208E-4</v>
      </c>
      <c r="M25">
        <v>5900</v>
      </c>
      <c r="N25" s="12">
        <f>M25*0.00404686</f>
        <v>23.876474000000002</v>
      </c>
      <c r="O25" s="4">
        <f>(N25-F25)/F25</f>
        <v>0.66409771396710349</v>
      </c>
      <c r="P25">
        <v>56</v>
      </c>
      <c r="Q25" s="9">
        <f>P25*0.3048</f>
        <v>17.0688</v>
      </c>
      <c r="R25" s="4">
        <f>(Q25-G25)/G25</f>
        <v>4.0470588235293837E-3</v>
      </c>
    </row>
    <row r="26" spans="1:18" x14ac:dyDescent="0.3">
      <c r="A26" s="6">
        <v>390</v>
      </c>
      <c r="B26" t="s">
        <v>277</v>
      </c>
      <c r="C26" t="s">
        <v>277</v>
      </c>
      <c r="D26" t="s">
        <v>278</v>
      </c>
      <c r="E26">
        <v>124</v>
      </c>
      <c r="F26">
        <v>6.3</v>
      </c>
      <c r="G26">
        <v>77</v>
      </c>
      <c r="H26">
        <v>1563</v>
      </c>
      <c r="J26">
        <v>100500</v>
      </c>
      <c r="K26" s="9">
        <f>J26*0.00123348</f>
        <v>123.96473999999999</v>
      </c>
      <c r="L26" s="4">
        <f>(K26-E26)/E26</f>
        <v>-2.8435483870974245E-4</v>
      </c>
      <c r="M26">
        <v>1560</v>
      </c>
      <c r="N26" s="12">
        <f>M26*0.00404686</f>
        <v>6.3131016000000004</v>
      </c>
      <c r="O26" s="4">
        <f>(N26-F26)/F26</f>
        <v>2.079619047619143E-3</v>
      </c>
      <c r="P26">
        <v>253</v>
      </c>
      <c r="Q26" s="9">
        <f>P26*0.3048</f>
        <v>77.114400000000003</v>
      </c>
      <c r="R26" s="4">
        <f>(Q26-G26)/G26</f>
        <v>1.4857142857143298E-3</v>
      </c>
    </row>
    <row r="27" spans="1:18" x14ac:dyDescent="0.3">
      <c r="A27" s="6">
        <v>191</v>
      </c>
      <c r="C27" t="s">
        <v>263</v>
      </c>
      <c r="D27" t="s">
        <v>13</v>
      </c>
      <c r="E27">
        <v>514.5</v>
      </c>
      <c r="F27">
        <v>31.2</v>
      </c>
      <c r="G27">
        <v>52</v>
      </c>
      <c r="H27">
        <v>69</v>
      </c>
      <c r="J27">
        <v>417000</v>
      </c>
      <c r="K27" s="9">
        <f>J27*0.00123348</f>
        <v>514.36115999999993</v>
      </c>
      <c r="L27" s="4">
        <f>(K27-E27)/E27</f>
        <v>-2.6985422740538953E-4</v>
      </c>
      <c r="M27">
        <v>7600</v>
      </c>
      <c r="N27" s="12">
        <f>M27*0.00404686</f>
        <v>30.756136000000001</v>
      </c>
      <c r="O27" s="4">
        <f>(N27-F27)/F27</f>
        <v>-1.4226410256410187E-2</v>
      </c>
      <c r="P27">
        <v>171</v>
      </c>
      <c r="Q27" s="9">
        <f>P27*0.3048</f>
        <v>52.120800000000003</v>
      </c>
      <c r="R27" s="4">
        <f>(Q27-G27)/G27</f>
        <v>2.3230769230769745E-3</v>
      </c>
    </row>
    <row r="28" spans="1:18" x14ac:dyDescent="0.3">
      <c r="A28" s="6">
        <v>319</v>
      </c>
      <c r="B28" t="s">
        <v>24</v>
      </c>
      <c r="C28" t="s">
        <v>24</v>
      </c>
      <c r="D28" t="s">
        <v>17</v>
      </c>
      <c r="E28">
        <v>150.5</v>
      </c>
      <c r="F28">
        <v>5.7469999999999999</v>
      </c>
      <c r="G28">
        <v>61</v>
      </c>
      <c r="H28">
        <v>1440</v>
      </c>
      <c r="I28">
        <v>0.98960807003842988</v>
      </c>
      <c r="J28">
        <v>121981</v>
      </c>
      <c r="K28" s="9">
        <f>J28*0.00123348</f>
        <v>150.46112388</v>
      </c>
      <c r="L28" s="4">
        <f>(K28-E28)/E28</f>
        <v>-2.5831308970098089E-4</v>
      </c>
      <c r="M28">
        <v>1420</v>
      </c>
      <c r="N28" s="12">
        <f>M28*0.00404686</f>
        <v>5.7465412000000002</v>
      </c>
      <c r="O28" s="4">
        <f>(N28-F28)/F28</f>
        <v>-7.9832956324977965E-5</v>
      </c>
      <c r="P28">
        <v>199</v>
      </c>
      <c r="Q28" s="9">
        <f>P28*0.3048</f>
        <v>60.655200000000001</v>
      </c>
      <c r="R28" s="4">
        <f>(Q28-G28)/G28</f>
        <v>-5.6524590163934321E-3</v>
      </c>
    </row>
    <row r="29" spans="1:18" x14ac:dyDescent="0.3">
      <c r="A29" s="6">
        <v>1617</v>
      </c>
      <c r="B29" t="s">
        <v>180</v>
      </c>
      <c r="C29" t="s">
        <v>181</v>
      </c>
      <c r="D29" t="s">
        <v>179</v>
      </c>
      <c r="E29">
        <v>76</v>
      </c>
      <c r="F29">
        <v>8.2569999999999997</v>
      </c>
      <c r="G29">
        <v>16</v>
      </c>
      <c r="H29">
        <v>273</v>
      </c>
      <c r="I29">
        <v>0.96601411454878272</v>
      </c>
      <c r="J29">
        <v>61600</v>
      </c>
      <c r="K29" s="9">
        <f>J29*0.00123348</f>
        <v>75.982367999999994</v>
      </c>
      <c r="L29" s="4">
        <f>(K29-E29)/E29</f>
        <v>-2.320000000000801E-4</v>
      </c>
      <c r="M29">
        <v>2350</v>
      </c>
      <c r="N29" s="12">
        <f>M29*0.00404686</f>
        <v>9.5101209999999998</v>
      </c>
      <c r="O29" s="4">
        <f>(N29-F29)/F29</f>
        <v>0.15176468451011266</v>
      </c>
      <c r="P29">
        <v>52</v>
      </c>
      <c r="Q29" s="9">
        <f>P29*0.3048</f>
        <v>15.849600000000001</v>
      </c>
      <c r="R29" s="4">
        <f>(Q29-G29)/G29</f>
        <v>-9.3999999999999639E-3</v>
      </c>
    </row>
    <row r="30" spans="1:18" x14ac:dyDescent="0.3">
      <c r="A30" s="6">
        <v>957</v>
      </c>
      <c r="B30" t="s">
        <v>110</v>
      </c>
      <c r="C30" t="s">
        <v>111</v>
      </c>
      <c r="D30" t="s">
        <v>60</v>
      </c>
      <c r="E30">
        <v>165.9</v>
      </c>
      <c r="F30">
        <v>3.4510000000000001</v>
      </c>
      <c r="G30">
        <v>58</v>
      </c>
      <c r="H30">
        <v>1693</v>
      </c>
      <c r="I30">
        <v>4.0804987463741282E-2</v>
      </c>
      <c r="J30">
        <v>134470</v>
      </c>
      <c r="K30" s="9">
        <f>J30*0.00123348</f>
        <v>165.86605559999998</v>
      </c>
      <c r="L30" s="4">
        <f>(K30-E30)/E30</f>
        <v>-2.0460759493685465E-4</v>
      </c>
      <c r="M30">
        <v>852</v>
      </c>
      <c r="N30" s="12">
        <f>M30*0.00404686</f>
        <v>3.4479247200000001</v>
      </c>
      <c r="O30" s="4">
        <f>(N30-F30)/F30</f>
        <v>-8.9112720950449537E-4</v>
      </c>
      <c r="P30">
        <v>189</v>
      </c>
      <c r="Q30" s="9">
        <f>P30*0.3048</f>
        <v>57.607200000000006</v>
      </c>
      <c r="R30" s="4">
        <f>(Q30-G30)/G30</f>
        <v>-6.7724137931033457E-3</v>
      </c>
    </row>
    <row r="31" spans="1:18" x14ac:dyDescent="0.3">
      <c r="A31" s="6">
        <v>398</v>
      </c>
      <c r="B31" t="s">
        <v>34</v>
      </c>
      <c r="C31" t="s">
        <v>34</v>
      </c>
      <c r="D31" t="s">
        <v>32</v>
      </c>
      <c r="E31">
        <v>202.3</v>
      </c>
      <c r="F31">
        <v>12.78</v>
      </c>
      <c r="G31">
        <v>24</v>
      </c>
      <c r="H31">
        <v>1772</v>
      </c>
      <c r="I31">
        <v>0.64799174637664336</v>
      </c>
      <c r="J31">
        <v>163976</v>
      </c>
      <c r="K31" s="9">
        <f>J31*0.00123348</f>
        <v>202.26111648</v>
      </c>
      <c r="L31" s="4">
        <f>(K31-E31)/E31</f>
        <v>-1.9220721700451333E-4</v>
      </c>
      <c r="M31">
        <v>3157</v>
      </c>
      <c r="N31" s="12">
        <f>M31*0.00404686</f>
        <v>12.775937020000001</v>
      </c>
      <c r="O31" s="4">
        <f>(N31-F31)/F31</f>
        <v>-3.1791705790287301E-4</v>
      </c>
      <c r="P31">
        <v>81</v>
      </c>
      <c r="Q31" s="9">
        <f>P31*0.3048</f>
        <v>24.688800000000001</v>
      </c>
      <c r="R31" s="4">
        <f>(Q31-G31)/G31</f>
        <v>2.8700000000000021E-2</v>
      </c>
    </row>
    <row r="32" spans="1:18" x14ac:dyDescent="0.3">
      <c r="A32" s="6">
        <v>506</v>
      </c>
      <c r="B32" t="s">
        <v>63</v>
      </c>
      <c r="C32" t="s">
        <v>63</v>
      </c>
      <c r="D32" t="s">
        <v>41</v>
      </c>
      <c r="E32">
        <v>90.8</v>
      </c>
      <c r="F32">
        <v>9.9649999999999999</v>
      </c>
      <c r="G32">
        <v>38</v>
      </c>
      <c r="H32">
        <v>2327</v>
      </c>
      <c r="I32">
        <v>-0.46105871678730898</v>
      </c>
      <c r="J32">
        <v>73600</v>
      </c>
      <c r="K32" s="9">
        <f>J32*0.00123348</f>
        <v>90.784127999999995</v>
      </c>
      <c r="L32" s="4">
        <f>(K32-E32)/E32</f>
        <v>-1.7480176211455577E-4</v>
      </c>
      <c r="M32">
        <v>2810</v>
      </c>
      <c r="N32" s="12">
        <f>M32*0.00404686</f>
        <v>11.371676600000001</v>
      </c>
      <c r="O32" s="4">
        <f>(N32-F32)/F32</f>
        <v>0.1411617260411441</v>
      </c>
      <c r="P32">
        <v>125</v>
      </c>
      <c r="Q32" s="9">
        <f>P32*0.3048</f>
        <v>38.1</v>
      </c>
      <c r="R32" s="4">
        <f>(Q32-G32)/G32</f>
        <v>2.6315789473684583E-3</v>
      </c>
    </row>
    <row r="33" spans="1:18" x14ac:dyDescent="0.3">
      <c r="A33" s="6">
        <v>952</v>
      </c>
      <c r="B33" t="s">
        <v>108</v>
      </c>
      <c r="C33" t="s">
        <v>108</v>
      </c>
      <c r="D33" t="s">
        <v>109</v>
      </c>
      <c r="E33">
        <v>222.4</v>
      </c>
      <c r="F33">
        <v>8.3279999999999994</v>
      </c>
      <c r="G33">
        <v>28</v>
      </c>
      <c r="H33">
        <v>493</v>
      </c>
      <c r="I33">
        <v>0.42126080743294009</v>
      </c>
      <c r="J33">
        <v>180276</v>
      </c>
      <c r="K33" s="9">
        <f>J33*0.00123348</f>
        <v>222.36684047999998</v>
      </c>
      <c r="L33" s="4">
        <f>(K33-E33)/E33</f>
        <v>-1.4909856115119844E-4</v>
      </c>
      <c r="M33">
        <v>7635</v>
      </c>
      <c r="N33" s="12">
        <f>M33*0.00404686</f>
        <v>30.897776100000002</v>
      </c>
      <c r="O33" s="4">
        <f>(N33-F33)/F33</f>
        <v>2.7101076008645539</v>
      </c>
      <c r="P33">
        <v>93</v>
      </c>
      <c r="Q33" s="9">
        <f>P33*0.3048</f>
        <v>28.346400000000003</v>
      </c>
      <c r="R33" s="4">
        <f>(Q33-G33)/G33</f>
        <v>1.2371428571428669E-2</v>
      </c>
    </row>
    <row r="34" spans="1:18" x14ac:dyDescent="0.3">
      <c r="A34" s="6">
        <v>529</v>
      </c>
      <c r="C34" t="s">
        <v>70</v>
      </c>
      <c r="D34" t="s">
        <v>60</v>
      </c>
      <c r="E34">
        <v>114.3</v>
      </c>
      <c r="F34">
        <v>9.1280000000000001</v>
      </c>
      <c r="G34">
        <v>15</v>
      </c>
      <c r="H34">
        <v>2726</v>
      </c>
      <c r="I34">
        <v>0.43210915636223479</v>
      </c>
      <c r="J34">
        <v>92651</v>
      </c>
      <c r="K34" s="9">
        <f>J34*0.00123348</f>
        <v>114.28315547999999</v>
      </c>
      <c r="L34" s="4">
        <f>(K34-E34)/E34</f>
        <v>-1.4737112860898049E-4</v>
      </c>
      <c r="M34">
        <v>3446</v>
      </c>
      <c r="N34" s="12">
        <f>M34*0.00404686</f>
        <v>13.945479560000001</v>
      </c>
      <c r="O34" s="4">
        <f>(N34-F34)/F34</f>
        <v>0.5277694522348817</v>
      </c>
      <c r="P34">
        <v>48</v>
      </c>
      <c r="Q34" s="9">
        <f>P34*0.3048</f>
        <v>14.630400000000002</v>
      </c>
      <c r="R34" s="4">
        <f>(Q34-G34)/G34</f>
        <v>-2.4639999999999891E-2</v>
      </c>
    </row>
    <row r="35" spans="1:18" x14ac:dyDescent="0.3">
      <c r="A35" s="6">
        <v>438</v>
      </c>
      <c r="B35" t="s">
        <v>42</v>
      </c>
      <c r="C35" t="s">
        <v>42</v>
      </c>
      <c r="D35" t="s">
        <v>41</v>
      </c>
      <c r="E35">
        <v>143.1</v>
      </c>
      <c r="F35">
        <v>9.6890000000000001</v>
      </c>
      <c r="G35">
        <v>42</v>
      </c>
      <c r="H35">
        <v>1490</v>
      </c>
      <c r="I35">
        <v>0.75234833288176561</v>
      </c>
      <c r="J35">
        <v>116000</v>
      </c>
      <c r="K35" s="9">
        <f>J35*0.00123348</f>
        <v>143.08367999999999</v>
      </c>
      <c r="L35" s="4">
        <f>(K35-E35)/E35</f>
        <v>-1.140461215933434E-4</v>
      </c>
      <c r="M35">
        <v>2874</v>
      </c>
      <c r="N35" s="12">
        <f>M35*0.00404686</f>
        <v>11.63067564</v>
      </c>
      <c r="O35" s="4">
        <f>(N35-F35)/F35</f>
        <v>0.20040000412839298</v>
      </c>
      <c r="P35">
        <v>137</v>
      </c>
      <c r="Q35" s="9">
        <f>P35*0.3048</f>
        <v>41.757600000000004</v>
      </c>
      <c r="R35" s="4">
        <f>(Q35-G35)/G35</f>
        <v>-5.7714285714284856E-3</v>
      </c>
    </row>
    <row r="36" spans="1:18" x14ac:dyDescent="0.3">
      <c r="A36" s="6">
        <v>982</v>
      </c>
      <c r="B36" t="s">
        <v>117</v>
      </c>
      <c r="C36" t="s">
        <v>118</v>
      </c>
      <c r="D36" t="s">
        <v>109</v>
      </c>
      <c r="E36">
        <v>447.8</v>
      </c>
      <c r="F36">
        <v>28.04</v>
      </c>
      <c r="G36">
        <v>37</v>
      </c>
      <c r="H36">
        <v>327</v>
      </c>
      <c r="I36">
        <v>0.62500638905259132</v>
      </c>
      <c r="J36">
        <v>363000</v>
      </c>
      <c r="K36" s="9">
        <f>J36*0.00123348</f>
        <v>447.75323999999995</v>
      </c>
      <c r="L36" s="4">
        <f>(K36-E36)/E36</f>
        <v>-1.0442161679335188E-4</v>
      </c>
      <c r="M36">
        <v>6930</v>
      </c>
      <c r="N36" s="12">
        <f>M36*0.00404686</f>
        <v>28.044739800000002</v>
      </c>
      <c r="O36" s="4">
        <f>(N36-F36)/F36</f>
        <v>1.6903708987171749E-4</v>
      </c>
      <c r="P36">
        <v>123</v>
      </c>
      <c r="Q36" s="9">
        <f>P36*0.3048</f>
        <v>37.490400000000001</v>
      </c>
      <c r="R36" s="4">
        <f>(Q36-G36)/G36</f>
        <v>1.3254054054054082E-2</v>
      </c>
    </row>
    <row r="37" spans="1:18" x14ac:dyDescent="0.3">
      <c r="A37" s="6">
        <v>533</v>
      </c>
      <c r="B37" t="s">
        <v>72</v>
      </c>
      <c r="C37" t="s">
        <v>73</v>
      </c>
      <c r="D37" t="s">
        <v>60</v>
      </c>
      <c r="E37">
        <v>157.9</v>
      </c>
      <c r="F37">
        <v>12.369</v>
      </c>
      <c r="G37">
        <v>46</v>
      </c>
      <c r="H37">
        <v>2622</v>
      </c>
      <c r="I37">
        <v>0.42237478531286621</v>
      </c>
      <c r="J37">
        <v>128000</v>
      </c>
      <c r="K37" s="9">
        <f>J37*0.00123348</f>
        <v>157.88543999999999</v>
      </c>
      <c r="L37" s="4">
        <f>(K37-E37)/E37</f>
        <v>-9.2210259658120485E-5</v>
      </c>
      <c r="M37">
        <v>3500</v>
      </c>
      <c r="N37" s="12">
        <f>M37*0.00404686</f>
        <v>14.164010000000001</v>
      </c>
      <c r="O37" s="4">
        <f>(N37-F37)/F37</f>
        <v>0.14512167515563112</v>
      </c>
      <c r="P37">
        <v>151</v>
      </c>
      <c r="Q37" s="9">
        <f>P37*0.3048</f>
        <v>46.024799999999999</v>
      </c>
      <c r="R37" s="4">
        <f>(Q37-G37)/G37</f>
        <v>5.3913043478258794E-4</v>
      </c>
    </row>
    <row r="38" spans="1:18" x14ac:dyDescent="0.3">
      <c r="A38" s="6">
        <v>522</v>
      </c>
      <c r="C38" t="s">
        <v>69</v>
      </c>
      <c r="D38" t="s">
        <v>60</v>
      </c>
      <c r="E38">
        <v>107.6</v>
      </c>
      <c r="F38">
        <v>2.6720000000000002</v>
      </c>
      <c r="G38">
        <v>67</v>
      </c>
      <c r="H38">
        <v>2086</v>
      </c>
      <c r="I38">
        <v>0.79975003787645105</v>
      </c>
      <c r="J38">
        <v>87227</v>
      </c>
      <c r="K38" s="9">
        <f>J38*0.00123348</f>
        <v>107.59275996</v>
      </c>
      <c r="L38" s="4">
        <f>(K38-E38)/E38</f>
        <v>-6.7286617100364562E-5</v>
      </c>
      <c r="M38">
        <v>874</v>
      </c>
      <c r="N38" s="12">
        <f>M38*0.00404686</f>
        <v>3.5369556400000004</v>
      </c>
      <c r="O38" s="4">
        <f>(N38-F38)/F38</f>
        <v>0.32371094311377252</v>
      </c>
      <c r="P38">
        <v>221</v>
      </c>
      <c r="Q38" s="9">
        <f>P38*0.3048</f>
        <v>67.360799999999998</v>
      </c>
      <c r="R38" s="4">
        <f>(Q38-G38)/G38</f>
        <v>5.385074626865635E-3</v>
      </c>
    </row>
    <row r="39" spans="1:18" x14ac:dyDescent="0.3">
      <c r="A39" s="6">
        <v>55</v>
      </c>
      <c r="B39" t="s">
        <v>247</v>
      </c>
      <c r="C39" t="s">
        <v>248</v>
      </c>
      <c r="D39" t="s">
        <v>10</v>
      </c>
      <c r="E39">
        <v>194.9</v>
      </c>
      <c r="F39">
        <v>10.4</v>
      </c>
      <c r="G39">
        <v>39</v>
      </c>
      <c r="H39">
        <v>760</v>
      </c>
      <c r="J39">
        <v>158000</v>
      </c>
      <c r="K39" s="9">
        <f>J39*0.00123348</f>
        <v>194.88983999999999</v>
      </c>
      <c r="L39" s="4">
        <f>(K39-E39)/E39</f>
        <v>-5.2129297075491379E-5</v>
      </c>
      <c r="M39">
        <v>2562</v>
      </c>
      <c r="N39" s="12">
        <f>M39*0.00404686</f>
        <v>10.36805532</v>
      </c>
      <c r="O39" s="4">
        <f>(N39-F39)/F39</f>
        <v>-3.0716038461538944E-3</v>
      </c>
      <c r="P39">
        <v>128</v>
      </c>
      <c r="Q39" s="9">
        <f>P39*0.3048</f>
        <v>39.014400000000002</v>
      </c>
      <c r="R39" s="4">
        <f>(Q39-G39)/G39</f>
        <v>3.6923076923081968E-4</v>
      </c>
    </row>
    <row r="40" spans="1:18" x14ac:dyDescent="0.3">
      <c r="A40" s="6">
        <v>517</v>
      </c>
      <c r="C40" t="s">
        <v>67</v>
      </c>
      <c r="D40" t="s">
        <v>60</v>
      </c>
      <c r="E40">
        <v>146.80000000000001</v>
      </c>
      <c r="F40">
        <v>2.9990000000000001</v>
      </c>
      <c r="G40">
        <v>88</v>
      </c>
      <c r="H40">
        <v>1374</v>
      </c>
      <c r="I40">
        <v>0.89734033912755184</v>
      </c>
      <c r="J40">
        <v>119007</v>
      </c>
      <c r="K40" s="9">
        <f>J40*0.00123348</f>
        <v>146.79275435999998</v>
      </c>
      <c r="L40" s="4">
        <f>(K40-E40)/E40</f>
        <v>-4.9357220708693775E-5</v>
      </c>
      <c r="M40">
        <v>1110</v>
      </c>
      <c r="N40" s="12">
        <f>M40*0.00404686</f>
        <v>4.4920146000000001</v>
      </c>
      <c r="O40" s="4">
        <f>(N40-F40)/F40</f>
        <v>0.49783747915971988</v>
      </c>
      <c r="P40">
        <v>322</v>
      </c>
      <c r="Q40" s="9">
        <f>P40*0.3048</f>
        <v>98.145600000000002</v>
      </c>
      <c r="R40" s="4">
        <f>(Q40-G40)/G40</f>
        <v>0.11529090909090911</v>
      </c>
    </row>
    <row r="41" spans="1:18" x14ac:dyDescent="0.3">
      <c r="A41" s="6">
        <v>133</v>
      </c>
      <c r="B41" t="s">
        <v>258</v>
      </c>
      <c r="C41" t="s">
        <v>258</v>
      </c>
      <c r="D41" t="s">
        <v>13</v>
      </c>
      <c r="E41">
        <v>340.6</v>
      </c>
      <c r="F41">
        <v>14</v>
      </c>
      <c r="G41">
        <v>86</v>
      </c>
      <c r="H41">
        <v>374</v>
      </c>
      <c r="J41">
        <v>276117</v>
      </c>
      <c r="K41" s="9">
        <f>J41*0.00123348</f>
        <v>340.58479715999999</v>
      </c>
      <c r="L41" s="4">
        <f>(K41-E41)/E41</f>
        <v>-4.4635466823338302E-5</v>
      </c>
      <c r="M41">
        <v>3458</v>
      </c>
      <c r="N41" s="12">
        <f>M41*0.00404686</f>
        <v>13.994041880000001</v>
      </c>
      <c r="O41" s="4">
        <f>(N41-F41)/F41</f>
        <v>-4.2557999999992546E-4</v>
      </c>
      <c r="P41">
        <v>282</v>
      </c>
      <c r="Q41" s="9">
        <f>P41*0.3048</f>
        <v>85.953600000000009</v>
      </c>
      <c r="R41" s="4">
        <f>(Q41-G41)/G41</f>
        <v>-5.3953488372082952E-4</v>
      </c>
    </row>
    <row r="42" spans="1:18" x14ac:dyDescent="0.3">
      <c r="A42" s="6">
        <v>511</v>
      </c>
      <c r="B42" t="s">
        <v>65</v>
      </c>
      <c r="C42" t="s">
        <v>66</v>
      </c>
      <c r="D42" t="s">
        <v>60</v>
      </c>
      <c r="E42">
        <v>437.9</v>
      </c>
      <c r="F42">
        <v>5.2480000000000002</v>
      </c>
      <c r="G42">
        <v>45</v>
      </c>
      <c r="H42">
        <v>1658</v>
      </c>
      <c r="I42">
        <v>0.88061545953002729</v>
      </c>
      <c r="J42">
        <v>355000</v>
      </c>
      <c r="K42" s="9">
        <f>J42*0.00123348</f>
        <v>437.88539999999995</v>
      </c>
      <c r="L42" s="4">
        <f>(K42-E42)/E42</f>
        <v>-3.3340945421397401E-5</v>
      </c>
      <c r="M42">
        <v>1150</v>
      </c>
      <c r="N42" s="12">
        <f>M42*0.00404686</f>
        <v>4.6538890000000004</v>
      </c>
      <c r="O42" s="4">
        <f>(N42-F42)/F42</f>
        <v>-0.1132071265243902</v>
      </c>
      <c r="P42">
        <v>148</v>
      </c>
      <c r="Q42" s="9">
        <f>P42*0.3048</f>
        <v>45.110400000000006</v>
      </c>
      <c r="R42" s="4">
        <f>(Q42-G42)/G42</f>
        <v>2.4533333333334579E-3</v>
      </c>
    </row>
    <row r="43" spans="1:18" x14ac:dyDescent="0.3">
      <c r="A43" s="6">
        <v>1782</v>
      </c>
      <c r="B43" t="s">
        <v>222</v>
      </c>
      <c r="C43" t="s">
        <v>223</v>
      </c>
      <c r="D43" t="s">
        <v>219</v>
      </c>
      <c r="E43">
        <v>1259.4000000000001</v>
      </c>
      <c r="F43">
        <v>38.457999999999998</v>
      </c>
      <c r="G43">
        <v>28</v>
      </c>
      <c r="H43">
        <v>74</v>
      </c>
      <c r="I43">
        <v>0.45586172362939331</v>
      </c>
      <c r="J43">
        <v>1020980</v>
      </c>
      <c r="K43" s="9">
        <f>J43*0.00123348</f>
        <v>1259.3584103999999</v>
      </c>
      <c r="L43" s="4">
        <f>(K43-E43)/E43</f>
        <v>-3.3023344449880428E-5</v>
      </c>
      <c r="M43">
        <v>11310</v>
      </c>
      <c r="N43" s="12">
        <f>M43*0.00404686</f>
        <v>45.769986600000003</v>
      </c>
      <c r="O43" s="4">
        <f>(N43-F43)/F43</f>
        <v>0.19012914348120039</v>
      </c>
      <c r="P43">
        <v>92</v>
      </c>
      <c r="Q43" s="9">
        <f>P43*0.3048</f>
        <v>28.041600000000003</v>
      </c>
      <c r="R43" s="4">
        <f>(Q43-G43)/G43</f>
        <v>1.4857142857143759E-3</v>
      </c>
    </row>
    <row r="44" spans="1:18" x14ac:dyDescent="0.3">
      <c r="A44" s="6">
        <v>1910</v>
      </c>
      <c r="B44" t="s">
        <v>237</v>
      </c>
      <c r="C44" t="s">
        <v>238</v>
      </c>
      <c r="D44" t="s">
        <v>239</v>
      </c>
      <c r="E44">
        <v>1152.5999999999999</v>
      </c>
      <c r="F44">
        <v>182.84100000000001</v>
      </c>
      <c r="G44">
        <v>52</v>
      </c>
      <c r="H44">
        <v>66</v>
      </c>
      <c r="I44">
        <v>-0.19271676160081699</v>
      </c>
      <c r="J44">
        <v>934400</v>
      </c>
      <c r="K44" s="9">
        <f>J44*0.00123348</f>
        <v>1152.5637119999999</v>
      </c>
      <c r="L44" s="4">
        <f>(K44-E44)/E44</f>
        <v>-3.1483602290485162E-5</v>
      </c>
      <c r="M44">
        <v>45.180999999999997</v>
      </c>
      <c r="N44" s="12">
        <f>M44*0.00404686</f>
        <v>0.18284118165999999</v>
      </c>
      <c r="O44" s="4">
        <f>(N44-F44)/F44</f>
        <v>-0.99899999900645919</v>
      </c>
      <c r="P44">
        <v>171</v>
      </c>
      <c r="Q44" s="9">
        <f>P44*0.3048</f>
        <v>52.120800000000003</v>
      </c>
      <c r="R44" s="4">
        <f>(Q44-G44)/G44</f>
        <v>2.3230769230769745E-3</v>
      </c>
    </row>
    <row r="45" spans="1:18" x14ac:dyDescent="0.3">
      <c r="A45" s="6">
        <v>1207</v>
      </c>
      <c r="B45" t="s">
        <v>169</v>
      </c>
      <c r="C45" t="s">
        <v>170</v>
      </c>
      <c r="D45" t="s">
        <v>154</v>
      </c>
      <c r="E45">
        <v>666.1</v>
      </c>
      <c r="F45">
        <v>89.049000000000007</v>
      </c>
      <c r="G45">
        <v>20</v>
      </c>
      <c r="H45">
        <v>91</v>
      </c>
      <c r="I45">
        <v>-0.40579904415884532</v>
      </c>
      <c r="J45">
        <v>540000</v>
      </c>
      <c r="K45" s="9">
        <f>J45*0.00123348</f>
        <v>666.0791999999999</v>
      </c>
      <c r="L45" s="4">
        <f>(K45-E45)/E45</f>
        <v>-3.1226542561360235E-5</v>
      </c>
      <c r="M45">
        <v>33000</v>
      </c>
      <c r="N45" s="12">
        <f>M45*0.00404686</f>
        <v>133.54638</v>
      </c>
      <c r="O45" s="4">
        <f>(N45-F45)/F45</f>
        <v>0.49969544857325732</v>
      </c>
      <c r="P45">
        <v>65</v>
      </c>
      <c r="Q45" s="9">
        <f>P45*0.3048</f>
        <v>19.812000000000001</v>
      </c>
      <c r="R45" s="4">
        <f>(Q45-G45)/G45</f>
        <v>-9.3999999999999414E-3</v>
      </c>
    </row>
    <row r="46" spans="1:18" x14ac:dyDescent="0.3">
      <c r="A46" s="6">
        <v>882</v>
      </c>
      <c r="B46" t="s">
        <v>98</v>
      </c>
      <c r="C46" t="s">
        <v>98</v>
      </c>
      <c r="D46" t="s">
        <v>95</v>
      </c>
      <c r="E46">
        <v>173.8</v>
      </c>
      <c r="F46">
        <v>2.7549999999999999</v>
      </c>
      <c r="G46">
        <v>75</v>
      </c>
      <c r="H46">
        <v>1419</v>
      </c>
      <c r="I46">
        <v>0.91053138364043729</v>
      </c>
      <c r="J46">
        <v>140898</v>
      </c>
      <c r="K46" s="9">
        <f>J46*0.00123348</f>
        <v>173.79486503999999</v>
      </c>
      <c r="L46" s="4">
        <f>(K46-E46)/E46</f>
        <v>-2.9545224395976883E-5</v>
      </c>
      <c r="M46">
        <v>1557</v>
      </c>
      <c r="N46" s="12">
        <f>M46*0.00404686</f>
        <v>6.3009610199999999</v>
      </c>
      <c r="O46" s="4">
        <f>(N46-F46)/F46</f>
        <v>1.2871001887477314</v>
      </c>
      <c r="P46">
        <v>245</v>
      </c>
      <c r="Q46" s="9">
        <f>P46*0.3048</f>
        <v>74.676000000000002</v>
      </c>
      <c r="R46" s="4">
        <f>(Q46-G46)/G46</f>
        <v>-4.319999999999974E-3</v>
      </c>
    </row>
    <row r="47" spans="1:18" x14ac:dyDescent="0.3">
      <c r="A47" s="6">
        <v>1755</v>
      </c>
      <c r="B47" t="s">
        <v>206</v>
      </c>
      <c r="C47" t="s">
        <v>207</v>
      </c>
      <c r="D47" t="s">
        <v>192</v>
      </c>
      <c r="E47">
        <v>1005.5</v>
      </c>
      <c r="F47">
        <v>32.011000000000003</v>
      </c>
      <c r="G47">
        <v>43</v>
      </c>
      <c r="H47">
        <v>188</v>
      </c>
      <c r="I47">
        <v>0.77148023567623569</v>
      </c>
      <c r="J47">
        <v>815150</v>
      </c>
      <c r="K47" s="9">
        <f>J47*0.00123348</f>
        <v>1005.4712219999999</v>
      </c>
      <c r="L47" s="4">
        <f>(K47-E47)/E47</f>
        <v>-2.8620586772851428E-5</v>
      </c>
      <c r="M47">
        <v>10000</v>
      </c>
      <c r="N47" s="12">
        <f>M47*0.00404686</f>
        <v>40.468600000000002</v>
      </c>
      <c r="O47" s="4">
        <f>(N47-F47)/F47</f>
        <v>0.26420917809502981</v>
      </c>
      <c r="P47">
        <v>146</v>
      </c>
      <c r="Q47" s="9">
        <f>P47*0.3048</f>
        <v>44.500800000000005</v>
      </c>
      <c r="R47" s="4">
        <f>(Q47-G47)/G47</f>
        <v>3.4902325581395471E-2</v>
      </c>
    </row>
    <row r="48" spans="1:18" x14ac:dyDescent="0.3">
      <c r="A48" s="6">
        <v>193</v>
      </c>
      <c r="B48" t="s">
        <v>264</v>
      </c>
      <c r="C48" t="s">
        <v>265</v>
      </c>
      <c r="D48" t="s">
        <v>13</v>
      </c>
      <c r="E48">
        <v>430</v>
      </c>
      <c r="F48">
        <v>17.8</v>
      </c>
      <c r="G48">
        <v>64</v>
      </c>
      <c r="H48">
        <v>221</v>
      </c>
      <c r="J48">
        <v>348598</v>
      </c>
      <c r="K48" s="9">
        <f>J48*0.00123348</f>
        <v>429.98866103999995</v>
      </c>
      <c r="L48" s="4">
        <f>(K48-E48)/E48</f>
        <v>-2.6369674418711562E-5</v>
      </c>
      <c r="M48">
        <v>4400</v>
      </c>
      <c r="N48" s="12">
        <f>M48*0.00404686</f>
        <v>17.806184000000002</v>
      </c>
      <c r="O48" s="4">
        <f>(N48-F48)/F48</f>
        <v>3.4741573033713919E-4</v>
      </c>
      <c r="P48">
        <v>210</v>
      </c>
      <c r="Q48" s="9">
        <f>P48*0.3048</f>
        <v>64.00800000000001</v>
      </c>
      <c r="R48" s="4">
        <f>(Q48-G48)/G48</f>
        <v>1.2500000000015277E-4</v>
      </c>
    </row>
    <row r="49" spans="1:18" x14ac:dyDescent="0.3">
      <c r="A49" s="6">
        <v>1192</v>
      </c>
      <c r="B49" t="s">
        <v>290</v>
      </c>
      <c r="C49" t="s">
        <v>291</v>
      </c>
      <c r="D49" t="s">
        <v>292</v>
      </c>
      <c r="E49">
        <v>931.3</v>
      </c>
      <c r="F49">
        <v>108.5</v>
      </c>
      <c r="G49">
        <v>15</v>
      </c>
      <c r="H49">
        <v>54</v>
      </c>
      <c r="J49">
        <v>755000</v>
      </c>
      <c r="K49" s="9">
        <f>J49*0.00123348</f>
        <v>931.27739999999994</v>
      </c>
      <c r="L49" s="4">
        <f>(K49-E49)/E49</f>
        <v>-2.4267153441438073E-5</v>
      </c>
      <c r="M49">
        <v>26800</v>
      </c>
      <c r="N49" s="12">
        <f>M49*0.00404686</f>
        <v>108.455848</v>
      </c>
      <c r="O49" s="4">
        <f>(N49-F49)/F49</f>
        <v>-4.0693087557600792E-4</v>
      </c>
      <c r="P49">
        <v>48</v>
      </c>
      <c r="Q49" s="9">
        <f>P49*0.3048</f>
        <v>14.630400000000002</v>
      </c>
      <c r="R49" s="4">
        <f>(Q49-G49)/G49</f>
        <v>-2.4639999999999891E-2</v>
      </c>
    </row>
    <row r="50" spans="1:18" x14ac:dyDescent="0.3">
      <c r="A50" s="6">
        <v>307</v>
      </c>
      <c r="B50" t="s">
        <v>22</v>
      </c>
      <c r="C50" t="s">
        <v>23</v>
      </c>
      <c r="D50" t="s">
        <v>17</v>
      </c>
      <c r="E50">
        <v>23560</v>
      </c>
      <c r="F50">
        <v>816.43200000000002</v>
      </c>
      <c r="G50">
        <v>78</v>
      </c>
      <c r="H50">
        <v>695</v>
      </c>
      <c r="I50">
        <v>0.90531845140745804</v>
      </c>
      <c r="J50">
        <v>19100000</v>
      </c>
      <c r="K50" s="9">
        <f>J50*0.00123348</f>
        <v>23559.467999999997</v>
      </c>
      <c r="L50" s="4">
        <f>(K50-E50)/E50</f>
        <v>-2.2580645161412619E-5</v>
      </c>
      <c r="M50">
        <v>93000</v>
      </c>
      <c r="N50" s="12">
        <f>M50*0.00404686</f>
        <v>376.35798</v>
      </c>
      <c r="O50" s="4">
        <f>(N50-F50)/F50</f>
        <v>-0.53902103298253867</v>
      </c>
      <c r="P50">
        <v>256</v>
      </c>
      <c r="Q50" s="9">
        <f>P50*0.3048</f>
        <v>78.028800000000004</v>
      </c>
      <c r="R50" s="4">
        <f>(Q50-G50)/G50</f>
        <v>3.6923076923081968E-4</v>
      </c>
    </row>
    <row r="51" spans="1:18" x14ac:dyDescent="0.3">
      <c r="A51" s="6">
        <v>367</v>
      </c>
      <c r="B51" t="s">
        <v>273</v>
      </c>
      <c r="C51" t="s">
        <v>274</v>
      </c>
      <c r="D51" t="s">
        <v>272</v>
      </c>
      <c r="E51">
        <v>117.8</v>
      </c>
      <c r="F51">
        <v>9</v>
      </c>
      <c r="G51">
        <v>53</v>
      </c>
      <c r="H51">
        <v>1244</v>
      </c>
      <c r="J51">
        <v>95500</v>
      </c>
      <c r="K51" s="9">
        <f>J51*0.00123348</f>
        <v>117.79733999999999</v>
      </c>
      <c r="L51" s="4">
        <f>(K51-E51)/E51</f>
        <v>-2.2580645161340239E-5</v>
      </c>
      <c r="M51">
        <v>2235</v>
      </c>
      <c r="N51" s="12">
        <f>M51*0.00404686</f>
        <v>9.0447321000000009</v>
      </c>
      <c r="O51" s="4">
        <f>(N51-F51)/F51</f>
        <v>4.9702333333334382E-3</v>
      </c>
      <c r="P51">
        <v>173</v>
      </c>
      <c r="Q51" s="9">
        <f>P51*0.3048</f>
        <v>52.730400000000003</v>
      </c>
      <c r="R51" s="4">
        <f>(Q51-G51)/G51</f>
        <v>-5.0867924528301316E-3</v>
      </c>
    </row>
    <row r="52" spans="1:18" x14ac:dyDescent="0.3">
      <c r="A52" s="6">
        <v>467</v>
      </c>
      <c r="C52" t="s">
        <v>53</v>
      </c>
      <c r="D52" t="s">
        <v>41</v>
      </c>
      <c r="E52">
        <v>448.2</v>
      </c>
      <c r="F52">
        <v>10.596</v>
      </c>
      <c r="G52">
        <v>105</v>
      </c>
      <c r="H52">
        <v>1885</v>
      </c>
      <c r="I52">
        <v>0.95054344473133834</v>
      </c>
      <c r="J52">
        <v>363354</v>
      </c>
      <c r="K52" s="9">
        <f>J52*0.00123348</f>
        <v>448.18989191999998</v>
      </c>
      <c r="L52" s="4">
        <f>(K52-E52)/E52</f>
        <v>-2.2552610441787298E-5</v>
      </c>
      <c r="N52" s="12">
        <f>M52*0.00404686</f>
        <v>0</v>
      </c>
      <c r="O52" s="4">
        <f>(N52-F52)/F52</f>
        <v>-1</v>
      </c>
      <c r="P52">
        <v>391</v>
      </c>
      <c r="Q52" s="9">
        <f>P52*0.3048</f>
        <v>119.1768</v>
      </c>
      <c r="R52" s="4">
        <f>(Q52-G52)/G52</f>
        <v>0.13501714285714286</v>
      </c>
    </row>
    <row r="53" spans="1:18" x14ac:dyDescent="0.3">
      <c r="A53" s="6">
        <v>1093</v>
      </c>
      <c r="B53" t="s">
        <v>151</v>
      </c>
      <c r="C53" t="s">
        <v>151</v>
      </c>
      <c r="D53" t="s">
        <v>126</v>
      </c>
      <c r="E53">
        <v>527.29999999999995</v>
      </c>
      <c r="F53">
        <v>23.709</v>
      </c>
      <c r="G53">
        <v>30</v>
      </c>
      <c r="H53">
        <v>161</v>
      </c>
      <c r="I53">
        <v>6.6976056362702652E-2</v>
      </c>
      <c r="J53">
        <v>427481</v>
      </c>
      <c r="K53" s="9">
        <f>J53*0.00123348</f>
        <v>527.28926387999991</v>
      </c>
      <c r="L53" s="4">
        <f>(K53-E53)/E53</f>
        <v>-2.0360553764549341E-5</v>
      </c>
      <c r="M53">
        <v>6745</v>
      </c>
      <c r="N53" s="12">
        <f>M53*0.00404686</f>
        <v>27.296070700000001</v>
      </c>
      <c r="O53" s="4">
        <f>(N53-F53)/F53</f>
        <v>0.15129574001434062</v>
      </c>
      <c r="P53">
        <v>99</v>
      </c>
      <c r="Q53" s="9">
        <f>P53*0.3048</f>
        <v>30.1752</v>
      </c>
      <c r="R53" s="4">
        <f>(Q53-G53)/G53</f>
        <v>5.8400000000000084E-3</v>
      </c>
    </row>
    <row r="54" spans="1:18" x14ac:dyDescent="0.3">
      <c r="A54" s="6">
        <v>300</v>
      </c>
      <c r="B54" t="s">
        <v>19</v>
      </c>
      <c r="C54" t="s">
        <v>20</v>
      </c>
      <c r="D54" t="s">
        <v>17</v>
      </c>
      <c r="E54">
        <v>1757.1</v>
      </c>
      <c r="F54">
        <v>96.34</v>
      </c>
      <c r="G54">
        <v>64</v>
      </c>
      <c r="H54">
        <v>922</v>
      </c>
      <c r="I54">
        <v>0.9602173953426747</v>
      </c>
      <c r="J54">
        <v>1424478</v>
      </c>
      <c r="K54" s="9">
        <f>J54*0.00123348</f>
        <v>1757.06512344</v>
      </c>
      <c r="L54" s="4">
        <f>(K54-E54)/E54</f>
        <v>-1.9848932900762432E-5</v>
      </c>
      <c r="M54">
        <v>23805</v>
      </c>
      <c r="N54" s="12">
        <f>M54*0.00404686</f>
        <v>96.335502300000002</v>
      </c>
      <c r="O54" s="4">
        <f>(N54-F54)/F54</f>
        <v>-4.6685696491610071E-5</v>
      </c>
      <c r="P54">
        <v>211</v>
      </c>
      <c r="Q54" s="9">
        <f>P54*0.3048</f>
        <v>64.31280000000001</v>
      </c>
      <c r="R54" s="4">
        <f>(Q54-G54)/G54</f>
        <v>4.8875000000001556E-3</v>
      </c>
    </row>
    <row r="55" spans="1:18" x14ac:dyDescent="0.3">
      <c r="A55" s="6">
        <v>1033</v>
      </c>
      <c r="B55" t="s">
        <v>134</v>
      </c>
      <c r="C55" t="s">
        <v>135</v>
      </c>
      <c r="D55" t="s">
        <v>136</v>
      </c>
      <c r="E55">
        <v>2407.8000000000002</v>
      </c>
      <c r="F55">
        <v>71.361999999999995</v>
      </c>
      <c r="G55">
        <v>70</v>
      </c>
      <c r="H55">
        <v>348</v>
      </c>
      <c r="I55">
        <v>0.77484343885418028</v>
      </c>
      <c r="J55">
        <v>1952000</v>
      </c>
      <c r="K55" s="9">
        <f>J55*0.00123348</f>
        <v>2407.7529599999998</v>
      </c>
      <c r="L55" s="4">
        <f>(K55-E55)/E55</f>
        <v>-1.9536506354505865E-5</v>
      </c>
      <c r="M55">
        <v>28220</v>
      </c>
      <c r="N55" s="12">
        <f>M55*0.00404686</f>
        <v>114.2023892</v>
      </c>
      <c r="O55" s="4">
        <f>(N55-F55)/F55</f>
        <v>0.60032495165494248</v>
      </c>
      <c r="P55">
        <v>228</v>
      </c>
      <c r="Q55" s="9">
        <f>P55*0.3048</f>
        <v>69.494399999999999</v>
      </c>
      <c r="R55" s="4">
        <f>(Q55-G55)/G55</f>
        <v>-7.2228571428571593E-3</v>
      </c>
    </row>
    <row r="56" spans="1:18" x14ac:dyDescent="0.3">
      <c r="A56" s="6">
        <v>1070</v>
      </c>
      <c r="B56" t="s">
        <v>145</v>
      </c>
      <c r="C56" t="s">
        <v>146</v>
      </c>
      <c r="D56" t="s">
        <v>83</v>
      </c>
      <c r="E56">
        <v>874.7</v>
      </c>
      <c r="F56">
        <v>10.9</v>
      </c>
      <c r="G56">
        <v>59</v>
      </c>
      <c r="H56">
        <v>1291</v>
      </c>
      <c r="I56">
        <v>0.64379483995457498</v>
      </c>
      <c r="J56">
        <v>709119</v>
      </c>
      <c r="K56" s="9">
        <f>J56*0.00123348</f>
        <v>874.68410411999992</v>
      </c>
      <c r="L56" s="4">
        <f>(K56-E56)/E56</f>
        <v>-1.8172950726111913E-5</v>
      </c>
      <c r="M56">
        <v>2694</v>
      </c>
      <c r="N56" s="12">
        <f>M56*0.00404686</f>
        <v>10.902240840000001</v>
      </c>
      <c r="O56" s="4">
        <f>(N56-F56)/F56</f>
        <v>2.055816513762099E-4</v>
      </c>
      <c r="P56">
        <v>235</v>
      </c>
      <c r="Q56" s="9">
        <f>P56*0.3048</f>
        <v>71.628</v>
      </c>
      <c r="R56" s="4">
        <f>(Q56-G56)/G56</f>
        <v>0.21403389830508474</v>
      </c>
    </row>
    <row r="57" spans="1:18" x14ac:dyDescent="0.3">
      <c r="A57" s="6">
        <v>1869</v>
      </c>
      <c r="B57" t="s">
        <v>233</v>
      </c>
      <c r="C57" t="s">
        <v>234</v>
      </c>
      <c r="D57" t="s">
        <v>154</v>
      </c>
      <c r="E57">
        <v>3357.7</v>
      </c>
      <c r="F57">
        <v>107.44799999999999</v>
      </c>
      <c r="G57">
        <v>29</v>
      </c>
      <c r="H57">
        <v>78</v>
      </c>
      <c r="I57">
        <v>0.81286662068044813</v>
      </c>
      <c r="J57">
        <v>2722100</v>
      </c>
      <c r="K57" s="9">
        <f>J57*0.00123348</f>
        <v>3357.6559079999997</v>
      </c>
      <c r="L57" s="4">
        <f>(K57-E57)/E57</f>
        <v>-1.3131607945942611E-5</v>
      </c>
      <c r="M57">
        <v>9800</v>
      </c>
      <c r="N57" s="12">
        <f>M57*0.00404686</f>
        <v>39.659227999999999</v>
      </c>
      <c r="O57" s="4">
        <f>(N57-F57)/F57</f>
        <v>-0.63089840667113395</v>
      </c>
      <c r="P57">
        <v>103</v>
      </c>
      <c r="Q57" s="9">
        <f>P57*0.3048</f>
        <v>31.394400000000001</v>
      </c>
      <c r="R57" s="4">
        <f>(Q57-G57)/G57</f>
        <v>8.2565517241379338E-2</v>
      </c>
    </row>
    <row r="58" spans="1:18" x14ac:dyDescent="0.3">
      <c r="A58" s="6">
        <v>7313</v>
      </c>
      <c r="B58" t="s">
        <v>242</v>
      </c>
      <c r="C58" t="s">
        <v>243</v>
      </c>
      <c r="D58" t="s">
        <v>17</v>
      </c>
      <c r="E58">
        <v>2529.9</v>
      </c>
      <c r="F58">
        <v>138.79599999999999</v>
      </c>
      <c r="G58">
        <v>69</v>
      </c>
      <c r="H58">
        <v>1161</v>
      </c>
      <c r="I58">
        <v>0.63605137900338615</v>
      </c>
      <c r="J58">
        <v>2051000</v>
      </c>
      <c r="K58" s="9">
        <f>J58*0.00123348</f>
        <v>2529.8674799999999</v>
      </c>
      <c r="L58" s="4">
        <f>(K58-E58)/E58</f>
        <v>-1.2854263014429093E-5</v>
      </c>
      <c r="M58">
        <v>34435</v>
      </c>
      <c r="N58" s="12">
        <f>M58*0.00404686</f>
        <v>139.35362410000002</v>
      </c>
      <c r="O58" s="4">
        <f>(N58-F58)/F58</f>
        <v>4.0175804778237604E-3</v>
      </c>
      <c r="P58">
        <v>225</v>
      </c>
      <c r="Q58" s="9">
        <f>P58*0.3048</f>
        <v>68.58</v>
      </c>
      <c r="R58" s="4">
        <f>(Q58-G58)/G58</f>
        <v>-6.0869565217391555E-3</v>
      </c>
    </row>
    <row r="59" spans="1:18" x14ac:dyDescent="0.3">
      <c r="A59" s="6">
        <v>1053</v>
      </c>
      <c r="B59" t="s">
        <v>142</v>
      </c>
      <c r="C59" t="s">
        <v>142</v>
      </c>
      <c r="D59" t="s">
        <v>126</v>
      </c>
      <c r="E59">
        <v>1584.3</v>
      </c>
      <c r="F59">
        <v>67.456999999999994</v>
      </c>
      <c r="G59">
        <v>34</v>
      </c>
      <c r="H59">
        <v>181</v>
      </c>
      <c r="I59">
        <v>0.68320118282003106</v>
      </c>
      <c r="J59">
        <v>1284400</v>
      </c>
      <c r="K59" s="9">
        <f>J59*0.00123348</f>
        <v>1584.281712</v>
      </c>
      <c r="L59" s="4">
        <f>(K59-E59)/E59</f>
        <v>-1.1543268320383827E-5</v>
      </c>
      <c r="M59">
        <v>19900</v>
      </c>
      <c r="N59" s="12">
        <f>M59*0.00404686</f>
        <v>80.532514000000006</v>
      </c>
      <c r="O59" s="4">
        <f>(N59-F59)/F59</f>
        <v>0.19383479846420704</v>
      </c>
      <c r="P59">
        <v>110</v>
      </c>
      <c r="Q59" s="9">
        <f>P59*0.3048</f>
        <v>33.527999999999999</v>
      </c>
      <c r="R59" s="4">
        <f>(Q59-G59)/G59</f>
        <v>-1.3882352941176509E-2</v>
      </c>
    </row>
    <row r="60" spans="1:18" x14ac:dyDescent="0.3">
      <c r="A60" s="6">
        <v>1112</v>
      </c>
      <c r="B60" t="s">
        <v>157</v>
      </c>
      <c r="C60" t="s">
        <v>158</v>
      </c>
      <c r="D60" t="s">
        <v>136</v>
      </c>
      <c r="E60">
        <v>4638.8</v>
      </c>
      <c r="F60">
        <v>144.32499999999999</v>
      </c>
      <c r="G60">
        <v>73</v>
      </c>
      <c r="H60">
        <v>181</v>
      </c>
      <c r="I60">
        <v>0.72632714098846596</v>
      </c>
      <c r="J60">
        <v>3760700</v>
      </c>
      <c r="K60" s="9">
        <f>J60*0.00123348</f>
        <v>4638.7482359999995</v>
      </c>
      <c r="L60" s="4">
        <f>(K60-E60)/E60</f>
        <v>-1.1158920410608443E-5</v>
      </c>
      <c r="M60">
        <v>40100</v>
      </c>
      <c r="N60" s="12">
        <f>M60*0.00404686</f>
        <v>162.27908600000001</v>
      </c>
      <c r="O60" s="4">
        <f>(N60-F60)/F60</f>
        <v>0.12440038801316487</v>
      </c>
      <c r="P60">
        <v>240</v>
      </c>
      <c r="Q60" s="9">
        <f>P60*0.3048</f>
        <v>73.152000000000001</v>
      </c>
      <c r="R60" s="4">
        <f>(Q60-G60)/G60</f>
        <v>2.082191780821932E-3</v>
      </c>
    </row>
    <row r="61" spans="1:18" x14ac:dyDescent="0.3">
      <c r="A61" s="6">
        <v>1128</v>
      </c>
      <c r="B61" t="s">
        <v>165</v>
      </c>
      <c r="C61" t="s">
        <v>165</v>
      </c>
      <c r="D61" t="s">
        <v>126</v>
      </c>
      <c r="E61">
        <v>1571.6</v>
      </c>
      <c r="F61">
        <v>47.857999999999997</v>
      </c>
      <c r="G61">
        <v>31</v>
      </c>
      <c r="H61">
        <v>138</v>
      </c>
      <c r="I61">
        <v>0.6039505176287866</v>
      </c>
      <c r="J61">
        <v>1274107</v>
      </c>
      <c r="K61" s="9">
        <f>J61*0.00123348</f>
        <v>1571.58550236</v>
      </c>
      <c r="L61" s="4">
        <f>(K61-E61)/E61</f>
        <v>-9.2247645711027134E-6</v>
      </c>
      <c r="M61">
        <v>13144</v>
      </c>
      <c r="N61" s="12">
        <f>M61*0.00404686</f>
        <v>53.191927840000005</v>
      </c>
      <c r="O61" s="4">
        <f>(N61-F61)/F61</f>
        <v>0.11145321242007623</v>
      </c>
      <c r="P61">
        <v>101</v>
      </c>
      <c r="Q61" s="9">
        <f>P61*0.3048</f>
        <v>30.784800000000001</v>
      </c>
      <c r="R61" s="4">
        <f>(Q61-G61)/G61</f>
        <v>-6.9419354838709483E-3</v>
      </c>
    </row>
    <row r="62" spans="1:18" x14ac:dyDescent="0.3">
      <c r="A62" s="6">
        <v>1851</v>
      </c>
      <c r="B62" t="s">
        <v>228</v>
      </c>
      <c r="C62" t="s">
        <v>229</v>
      </c>
      <c r="D62" t="s">
        <v>230</v>
      </c>
      <c r="E62">
        <v>4241.6000000000004</v>
      </c>
      <c r="F62">
        <v>189.23699999999999</v>
      </c>
      <c r="G62">
        <v>62</v>
      </c>
      <c r="H62">
        <v>203</v>
      </c>
      <c r="I62">
        <v>0.65807996661577595</v>
      </c>
      <c r="J62">
        <v>3438700</v>
      </c>
      <c r="K62" s="9">
        <f>J62*0.00123348</f>
        <v>4241.5676759999997</v>
      </c>
      <c r="L62" s="4">
        <f>(K62-E62)/E62</f>
        <v>-7.6207091665171189E-6</v>
      </c>
      <c r="M62">
        <v>55950</v>
      </c>
      <c r="N62" s="12">
        <f>M62*0.00404686</f>
        <v>226.421817</v>
      </c>
      <c r="O62" s="4">
        <f>(N62-F62)/F62</f>
        <v>0.19649866040996217</v>
      </c>
      <c r="P62">
        <v>204</v>
      </c>
      <c r="Q62" s="9">
        <f>P62*0.3048</f>
        <v>62.179200000000002</v>
      </c>
      <c r="R62" s="4">
        <f>(Q62-G62)/G62</f>
        <v>2.8903225806451867E-3</v>
      </c>
    </row>
    <row r="63" spans="1:18" x14ac:dyDescent="0.3">
      <c r="A63" s="6">
        <v>600</v>
      </c>
      <c r="B63" t="s">
        <v>284</v>
      </c>
      <c r="C63" t="s">
        <v>285</v>
      </c>
      <c r="D63" t="s">
        <v>13</v>
      </c>
      <c r="E63">
        <v>1346.6</v>
      </c>
      <c r="F63">
        <v>24.2</v>
      </c>
      <c r="G63">
        <v>134</v>
      </c>
      <c r="H63">
        <v>296</v>
      </c>
      <c r="J63">
        <v>1091700</v>
      </c>
      <c r="K63" s="9">
        <f>J63*0.00123348</f>
        <v>1346.5901159999999</v>
      </c>
      <c r="L63" s="4">
        <f>(K63-E63)/E63</f>
        <v>-7.3399673251569908E-6</v>
      </c>
      <c r="M63">
        <v>5970</v>
      </c>
      <c r="N63" s="12">
        <f>M63*0.00404686</f>
        <v>24.159754200000002</v>
      </c>
      <c r="O63" s="4">
        <f>(N63-F63)/F63</f>
        <v>-1.6630495867767539E-3</v>
      </c>
      <c r="P63">
        <v>440</v>
      </c>
      <c r="Q63" s="9">
        <f>P63*0.3048</f>
        <v>134.11199999999999</v>
      </c>
      <c r="R63" s="4">
        <f>(Q63-G63)/G63</f>
        <v>8.3582089552234902E-4</v>
      </c>
    </row>
    <row r="64" spans="1:18" x14ac:dyDescent="0.3">
      <c r="A64" s="6">
        <v>1021</v>
      </c>
      <c r="B64" t="s">
        <v>127</v>
      </c>
      <c r="C64" t="s">
        <v>127</v>
      </c>
      <c r="D64" t="s">
        <v>126</v>
      </c>
      <c r="E64">
        <v>1221.4000000000001</v>
      </c>
      <c r="F64">
        <v>82.760999999999996</v>
      </c>
      <c r="G64">
        <v>21</v>
      </c>
      <c r="H64">
        <v>349</v>
      </c>
      <c r="I64">
        <v>-0.26453127233084001</v>
      </c>
      <c r="J64">
        <v>990200</v>
      </c>
      <c r="K64" s="9">
        <f>J64*0.00123348</f>
        <v>1221.3918959999999</v>
      </c>
      <c r="L64" s="4">
        <f>(K64-E64)/E64</f>
        <v>-6.6350090062472335E-6</v>
      </c>
      <c r="M64">
        <v>8690</v>
      </c>
      <c r="N64" s="12">
        <f>M64*0.00404686</f>
        <v>35.167213400000001</v>
      </c>
      <c r="O64" s="4">
        <f>(N64-F64)/F64</f>
        <v>-0.57507505467551134</v>
      </c>
      <c r="P64">
        <v>68</v>
      </c>
      <c r="Q64" s="9">
        <f>P64*0.3048</f>
        <v>20.726400000000002</v>
      </c>
      <c r="R64" s="4">
        <f>(Q64-G64)/G64</f>
        <v>-1.3028571428571348E-2</v>
      </c>
    </row>
    <row r="65" spans="1:18" x14ac:dyDescent="0.3">
      <c r="A65" s="6">
        <v>1848</v>
      </c>
      <c r="B65" t="s">
        <v>226</v>
      </c>
      <c r="C65" t="s">
        <v>227</v>
      </c>
      <c r="D65" t="s">
        <v>154</v>
      </c>
      <c r="E65">
        <v>3720.2</v>
      </c>
      <c r="F65">
        <v>118.56</v>
      </c>
      <c r="G65">
        <v>33</v>
      </c>
      <c r="H65">
        <v>95</v>
      </c>
      <c r="I65">
        <v>0.88488730112938063</v>
      </c>
      <c r="J65">
        <v>3016000</v>
      </c>
      <c r="K65" s="9">
        <f>J65*0.00123348</f>
        <v>3720.1756799999998</v>
      </c>
      <c r="L65" s="4">
        <f>(K65-E65)/E65</f>
        <v>-6.5372829417743125E-6</v>
      </c>
      <c r="M65">
        <v>10700</v>
      </c>
      <c r="N65" s="12">
        <f>M65*0.00404686</f>
        <v>43.301402000000003</v>
      </c>
      <c r="O65" s="4">
        <f>(N65-F65)/F65</f>
        <v>-0.63477225033738194</v>
      </c>
      <c r="P65">
        <v>117</v>
      </c>
      <c r="Q65" s="9">
        <f>P65*0.3048</f>
        <v>35.6616</v>
      </c>
      <c r="R65" s="4">
        <f>(Q65-G65)/G65</f>
        <v>8.0654545454545451E-2</v>
      </c>
    </row>
    <row r="66" spans="1:18" x14ac:dyDescent="0.3">
      <c r="A66" s="6">
        <v>131</v>
      </c>
      <c r="B66" t="s">
        <v>254</v>
      </c>
      <c r="C66" t="s">
        <v>255</v>
      </c>
      <c r="D66" t="s">
        <v>13</v>
      </c>
      <c r="E66">
        <v>3405.5</v>
      </c>
      <c r="F66">
        <v>71.7</v>
      </c>
      <c r="G66">
        <v>164</v>
      </c>
      <c r="H66">
        <v>730</v>
      </c>
      <c r="J66">
        <v>2760870</v>
      </c>
      <c r="K66" s="9">
        <f>J66*0.00123348</f>
        <v>3405.4779275999999</v>
      </c>
      <c r="L66" s="4">
        <f>(K66-E66)/E66</f>
        <v>-6.4813977389722646E-6</v>
      </c>
      <c r="M66">
        <v>17722</v>
      </c>
      <c r="N66" s="12">
        <f>M66*0.00404686</f>
        <v>71.718452920000004</v>
      </c>
      <c r="O66" s="4">
        <f>(N66-F66)/F66</f>
        <v>2.5736290097630996E-4</v>
      </c>
      <c r="P66">
        <v>538</v>
      </c>
      <c r="Q66" s="9">
        <f>P66*0.3048</f>
        <v>163.98240000000001</v>
      </c>
      <c r="R66" s="4">
        <f>(Q66-G66)/G66</f>
        <v>-1.0731707317065489E-4</v>
      </c>
    </row>
    <row r="67" spans="1:18" x14ac:dyDescent="0.3">
      <c r="A67" s="6">
        <v>1101</v>
      </c>
      <c r="B67" t="s">
        <v>152</v>
      </c>
      <c r="C67" t="s">
        <v>153</v>
      </c>
      <c r="D67" t="s">
        <v>154</v>
      </c>
      <c r="E67">
        <v>1706.9</v>
      </c>
      <c r="F67">
        <v>39.420999999999999</v>
      </c>
      <c r="G67">
        <v>23</v>
      </c>
      <c r="H67">
        <v>81</v>
      </c>
      <c r="I67">
        <v>0.88996869034094184</v>
      </c>
      <c r="J67">
        <v>1383800</v>
      </c>
      <c r="K67" s="9">
        <f>J67*0.00123348</f>
        <v>1706.8896239999999</v>
      </c>
      <c r="L67" s="4">
        <f>(K67-E67)/E67</f>
        <v>-6.0788564064552489E-6</v>
      </c>
      <c r="M67">
        <v>5100</v>
      </c>
      <c r="N67" s="12">
        <f>M67*0.00404686</f>
        <v>20.638986000000003</v>
      </c>
      <c r="O67" s="4">
        <f>(N67-F67)/F67</f>
        <v>-0.47644691915476517</v>
      </c>
      <c r="P67">
        <v>92</v>
      </c>
      <c r="Q67" s="9">
        <f>P67*0.3048</f>
        <v>28.041600000000003</v>
      </c>
      <c r="R67" s="4">
        <f>(Q67-G67)/G67</f>
        <v>0.21920000000000012</v>
      </c>
    </row>
    <row r="68" spans="1:18" x14ac:dyDescent="0.3">
      <c r="A68" s="6">
        <v>1036</v>
      </c>
      <c r="B68" t="s">
        <v>137</v>
      </c>
      <c r="C68" t="s">
        <v>138</v>
      </c>
      <c r="D68" t="s">
        <v>136</v>
      </c>
      <c r="E68">
        <v>6670.7</v>
      </c>
      <c r="F68">
        <v>153.203</v>
      </c>
      <c r="G68">
        <v>78</v>
      </c>
      <c r="H68">
        <v>216</v>
      </c>
      <c r="I68">
        <v>0.94707945267842419</v>
      </c>
      <c r="J68">
        <v>5408000</v>
      </c>
      <c r="K68" s="9">
        <f>J68*0.00123348</f>
        <v>6670.6598399999993</v>
      </c>
      <c r="L68" s="4">
        <f>(K68-E68)/E68</f>
        <v>-6.0203576836717521E-6</v>
      </c>
      <c r="M68">
        <v>454400</v>
      </c>
      <c r="N68" s="12">
        <f>M68*0.00404686</f>
        <v>1838.893184</v>
      </c>
      <c r="O68" s="4">
        <f>(N68-F68)/F68</f>
        <v>11.002984171328238</v>
      </c>
      <c r="P68">
        <v>282</v>
      </c>
      <c r="Q68" s="9">
        <f>P68*0.3048</f>
        <v>85.953600000000009</v>
      </c>
      <c r="R68" s="4">
        <f>(Q68-G68)/G68</f>
        <v>0.10196923076923088</v>
      </c>
    </row>
    <row r="69" spans="1:18" x14ac:dyDescent="0.3">
      <c r="A69" s="6">
        <v>989</v>
      </c>
      <c r="B69" t="s">
        <v>120</v>
      </c>
      <c r="C69" t="s">
        <v>121</v>
      </c>
      <c r="D69" t="s">
        <v>114</v>
      </c>
      <c r="E69">
        <v>6416.6</v>
      </c>
      <c r="F69">
        <v>225</v>
      </c>
      <c r="G69">
        <v>39</v>
      </c>
      <c r="H69">
        <v>229</v>
      </c>
      <c r="I69">
        <v>0.76659607161838605</v>
      </c>
      <c r="J69">
        <v>5202000</v>
      </c>
      <c r="K69" s="9">
        <f>J69*0.00123348</f>
        <v>6416.5629599999993</v>
      </c>
      <c r="L69" s="4">
        <f>(K69-E69)/E69</f>
        <v>-5.7725275069461145E-6</v>
      </c>
      <c r="M69">
        <v>55600</v>
      </c>
      <c r="N69" s="12">
        <f>M69*0.00404686</f>
        <v>225.00541600000003</v>
      </c>
      <c r="O69" s="4">
        <f>(N69-F69)/F69</f>
        <v>2.4071111111223016E-5</v>
      </c>
      <c r="P69">
        <v>98</v>
      </c>
      <c r="Q69" s="9">
        <f>P69*0.3048</f>
        <v>29.8704</v>
      </c>
      <c r="R69" s="4">
        <f>(Q69-G69)/G69</f>
        <v>-0.23409230769230768</v>
      </c>
    </row>
    <row r="70" spans="1:18" x14ac:dyDescent="0.3">
      <c r="A70" s="6">
        <v>1756</v>
      </c>
      <c r="B70" t="s">
        <v>208</v>
      </c>
      <c r="C70" t="s">
        <v>209</v>
      </c>
      <c r="D70" t="s">
        <v>192</v>
      </c>
      <c r="E70">
        <v>7510.7</v>
      </c>
      <c r="F70">
        <v>159.523</v>
      </c>
      <c r="G70">
        <v>71</v>
      </c>
      <c r="H70">
        <v>236</v>
      </c>
      <c r="I70">
        <v>0.86089523409323421</v>
      </c>
      <c r="J70">
        <v>6089000</v>
      </c>
      <c r="K70" s="9">
        <f>J70*0.00123348</f>
        <v>7510.6597199999997</v>
      </c>
      <c r="L70" s="4">
        <f>(K70-E70)/E70</f>
        <v>-5.3630154313401124E-6</v>
      </c>
      <c r="M70">
        <v>50250</v>
      </c>
      <c r="N70" s="12">
        <f>M70*0.00404686</f>
        <v>203.354715</v>
      </c>
      <c r="O70" s="4">
        <f>(N70-F70)/F70</f>
        <v>0.27476736896873805</v>
      </c>
      <c r="P70">
        <v>258</v>
      </c>
      <c r="Q70" s="9">
        <f>P70*0.3048</f>
        <v>78.638400000000004</v>
      </c>
      <c r="R70" s="4">
        <f>(Q70-G70)/G70</f>
        <v>0.10758309859154935</v>
      </c>
    </row>
    <row r="71" spans="1:18" x14ac:dyDescent="0.3">
      <c r="A71" s="6">
        <v>421</v>
      </c>
      <c r="B71" t="s">
        <v>38</v>
      </c>
      <c r="C71" t="s">
        <v>38</v>
      </c>
      <c r="D71" t="s">
        <v>32</v>
      </c>
      <c r="E71">
        <v>1254.8</v>
      </c>
      <c r="F71">
        <v>57.29</v>
      </c>
      <c r="G71">
        <v>90</v>
      </c>
      <c r="H71">
        <v>1934</v>
      </c>
      <c r="I71">
        <v>0.21918313102465681</v>
      </c>
      <c r="J71">
        <v>1017279</v>
      </c>
      <c r="K71" s="9">
        <f>J71*0.00123348</f>
        <v>1254.7933009199999</v>
      </c>
      <c r="L71" s="4">
        <f>(K71-E71)/E71</f>
        <v>-5.3387631495771857E-6</v>
      </c>
      <c r="M71">
        <v>20291</v>
      </c>
      <c r="N71" s="12">
        <f>M71*0.00404686</f>
        <v>82.114836260000004</v>
      </c>
      <c r="O71" s="4">
        <f>(N71-F71)/F71</f>
        <v>0.43331883854075764</v>
      </c>
      <c r="P71">
        <v>295</v>
      </c>
      <c r="Q71" s="9">
        <f>P71*0.3048</f>
        <v>89.916000000000011</v>
      </c>
      <c r="R71" s="4">
        <f>(Q71-G71)/G71</f>
        <v>-9.3333333333321081E-4</v>
      </c>
    </row>
    <row r="72" spans="1:18" x14ac:dyDescent="0.3">
      <c r="A72" s="6">
        <v>1237</v>
      </c>
      <c r="C72" t="s">
        <v>171</v>
      </c>
      <c r="D72" t="s">
        <v>172</v>
      </c>
      <c r="E72">
        <v>399.5</v>
      </c>
      <c r="F72">
        <v>15.968999999999999</v>
      </c>
      <c r="G72">
        <v>25</v>
      </c>
      <c r="H72">
        <v>139</v>
      </c>
      <c r="I72">
        <v>0.64287221218095925</v>
      </c>
      <c r="J72">
        <v>323879</v>
      </c>
      <c r="K72" s="9">
        <f>J72*0.00123348</f>
        <v>399.49826891999999</v>
      </c>
      <c r="L72" s="4">
        <f>(K72-E72)/E72</f>
        <v>-4.3331163955274283E-6</v>
      </c>
      <c r="M72">
        <v>5070</v>
      </c>
      <c r="N72" s="12">
        <f>M72*0.00404686</f>
        <v>20.517580200000001</v>
      </c>
      <c r="O72" s="4">
        <f>(N72-F72)/F72</f>
        <v>0.28483813638925431</v>
      </c>
      <c r="P72">
        <v>87</v>
      </c>
      <c r="Q72" s="9">
        <f>P72*0.3048</f>
        <v>26.517600000000002</v>
      </c>
      <c r="R72" s="4">
        <f>(Q72-G72)/G72</f>
        <v>6.0704000000000063E-2</v>
      </c>
    </row>
    <row r="73" spans="1:18" x14ac:dyDescent="0.3">
      <c r="A73" s="6">
        <v>939</v>
      </c>
      <c r="B73" t="s">
        <v>106</v>
      </c>
      <c r="C73" t="s">
        <v>107</v>
      </c>
      <c r="D73" t="s">
        <v>103</v>
      </c>
      <c r="E73">
        <v>199.7</v>
      </c>
      <c r="F73">
        <v>4.9660000000000002</v>
      </c>
      <c r="G73">
        <v>38</v>
      </c>
      <c r="H73">
        <v>803</v>
      </c>
      <c r="I73">
        <v>0.74762640126479107</v>
      </c>
      <c r="J73">
        <v>161899</v>
      </c>
      <c r="K73" s="9">
        <f>J73*0.00123348</f>
        <v>199.69917851999998</v>
      </c>
      <c r="L73" s="4">
        <f>(K73-E73)/E73</f>
        <v>-4.1135703555996629E-6</v>
      </c>
      <c r="M73">
        <v>4060</v>
      </c>
      <c r="N73" s="12">
        <f>M73*0.00404686</f>
        <v>16.430251600000002</v>
      </c>
      <c r="O73" s="4">
        <f>(N73-F73)/F73</f>
        <v>2.3085484494563029</v>
      </c>
      <c r="P73">
        <v>126</v>
      </c>
      <c r="Q73" s="9">
        <f>P73*0.3048</f>
        <v>38.404800000000002</v>
      </c>
      <c r="R73" s="4">
        <f>(Q73-G73)/G73</f>
        <v>1.065263157894741E-2</v>
      </c>
    </row>
    <row r="74" spans="1:18" x14ac:dyDescent="0.3">
      <c r="A74" s="6">
        <v>1753</v>
      </c>
      <c r="B74" t="s">
        <v>203</v>
      </c>
      <c r="C74" t="s">
        <v>192</v>
      </c>
      <c r="D74" t="s">
        <v>192</v>
      </c>
      <c r="E74">
        <v>9294.7999999999993</v>
      </c>
      <c r="F74">
        <v>574.875</v>
      </c>
      <c r="G74">
        <v>41</v>
      </c>
      <c r="H74">
        <v>118</v>
      </c>
      <c r="I74">
        <v>-0.1213843873024156</v>
      </c>
      <c r="J74">
        <v>7535400</v>
      </c>
      <c r="K74" s="9">
        <f>J74*0.00123348</f>
        <v>9294.7651919999989</v>
      </c>
      <c r="L74" s="4">
        <f>(K74-E74)/E74</f>
        <v>-3.7448896157355982E-6</v>
      </c>
      <c r="M74">
        <v>160300</v>
      </c>
      <c r="N74" s="12">
        <f>M74*0.00404686</f>
        <v>648.71165800000006</v>
      </c>
      <c r="O74" s="4">
        <f>(N74-F74)/F74</f>
        <v>0.12843950076103511</v>
      </c>
      <c r="P74">
        <v>206</v>
      </c>
      <c r="Q74" s="9">
        <f>P74*0.3048</f>
        <v>62.788800000000002</v>
      </c>
      <c r="R74" s="4">
        <f>(Q74-G74)/G74</f>
        <v>0.53143414634146346</v>
      </c>
    </row>
    <row r="75" spans="1:18" x14ac:dyDescent="0.3">
      <c r="A75" s="6">
        <v>1042</v>
      </c>
      <c r="B75" t="s">
        <v>139</v>
      </c>
      <c r="C75" t="s">
        <v>140</v>
      </c>
      <c r="D75" t="s">
        <v>136</v>
      </c>
      <c r="E75">
        <v>2446</v>
      </c>
      <c r="F75">
        <v>79.436000000000007</v>
      </c>
      <c r="G75">
        <v>76</v>
      </c>
      <c r="H75">
        <v>180</v>
      </c>
      <c r="I75">
        <v>0.75131970113946811</v>
      </c>
      <c r="J75">
        <v>1983000</v>
      </c>
      <c r="K75" s="9">
        <f>J75*0.00123348</f>
        <v>2445.9908399999999</v>
      </c>
      <c r="L75" s="4">
        <f>(K75-E75)/E75</f>
        <v>-3.7448896157258128E-6</v>
      </c>
      <c r="M75">
        <v>22000</v>
      </c>
      <c r="N75" s="12">
        <f>M75*0.00404686</f>
        <v>89.030920000000009</v>
      </c>
      <c r="O75" s="4">
        <f>(N75-F75)/F75</f>
        <v>0.12078805579334308</v>
      </c>
      <c r="P75">
        <v>248</v>
      </c>
      <c r="Q75" s="9">
        <f>P75*0.3048</f>
        <v>75.590400000000002</v>
      </c>
      <c r="R75" s="4">
        <f>(Q75-G75)/G75</f>
        <v>-5.3894736842104935E-3</v>
      </c>
    </row>
    <row r="76" spans="1:18" x14ac:dyDescent="0.3">
      <c r="A76" s="6">
        <v>198</v>
      </c>
      <c r="B76" t="s">
        <v>266</v>
      </c>
      <c r="C76" t="s">
        <v>266</v>
      </c>
      <c r="D76" t="s">
        <v>13</v>
      </c>
      <c r="E76">
        <v>3540.1</v>
      </c>
      <c r="F76">
        <v>54.4</v>
      </c>
      <c r="G76">
        <v>191</v>
      </c>
      <c r="H76">
        <v>346</v>
      </c>
      <c r="J76">
        <v>2870000</v>
      </c>
      <c r="K76" s="9">
        <f>J76*0.00123348</f>
        <v>3540.0875999999998</v>
      </c>
      <c r="L76" s="4">
        <f>(K76-E76)/E76</f>
        <v>-3.5027259117173463E-6</v>
      </c>
      <c r="M76">
        <v>13450</v>
      </c>
      <c r="N76" s="12">
        <f>M76*0.00404686</f>
        <v>54.430267000000001</v>
      </c>
      <c r="O76" s="4">
        <f>(N76-F76)/F76</f>
        <v>5.5637867647062578E-4</v>
      </c>
      <c r="P76">
        <v>625</v>
      </c>
      <c r="Q76" s="9">
        <f>P76*0.3048</f>
        <v>190.5</v>
      </c>
      <c r="R76" s="4">
        <f>(Q76-G76)/G76</f>
        <v>-2.617801047120419E-3</v>
      </c>
    </row>
    <row r="77" spans="1:18" x14ac:dyDescent="0.3">
      <c r="A77" s="6">
        <v>297</v>
      </c>
      <c r="B77" t="s">
        <v>269</v>
      </c>
      <c r="C77" t="s">
        <v>270</v>
      </c>
      <c r="D77" t="s">
        <v>17</v>
      </c>
      <c r="E77">
        <v>7434.2</v>
      </c>
      <c r="F77">
        <v>188.2</v>
      </c>
      <c r="G77">
        <v>129</v>
      </c>
      <c r="H77">
        <v>719</v>
      </c>
      <c r="J77">
        <v>6027000</v>
      </c>
      <c r="K77" s="9">
        <f>J77*0.00123348</f>
        <v>7434.1839599999994</v>
      </c>
      <c r="L77" s="4">
        <f>(K77-E77)/E77</f>
        <v>-2.1575959754149947E-6</v>
      </c>
      <c r="M77">
        <v>46500</v>
      </c>
      <c r="N77" s="12">
        <f>M77*0.00404686</f>
        <v>188.17899</v>
      </c>
      <c r="O77" s="4">
        <f>(N77-F77)/F77</f>
        <v>-1.116365568543558E-4</v>
      </c>
      <c r="P77">
        <v>422</v>
      </c>
      <c r="Q77" s="9">
        <f>P77*0.3048</f>
        <v>128.62560000000002</v>
      </c>
      <c r="R77" s="4">
        <f>(Q77-G77)/G77</f>
        <v>-2.9023255813951944E-3</v>
      </c>
    </row>
    <row r="78" spans="1:18" x14ac:dyDescent="0.3">
      <c r="A78" s="6">
        <v>1872</v>
      </c>
      <c r="B78" t="s">
        <v>235</v>
      </c>
      <c r="C78" t="s">
        <v>236</v>
      </c>
      <c r="D78" t="s">
        <v>230</v>
      </c>
      <c r="E78">
        <v>4711.8999999999996</v>
      </c>
      <c r="F78">
        <v>131.43199999999999</v>
      </c>
      <c r="G78">
        <v>61</v>
      </c>
      <c r="H78">
        <v>107</v>
      </c>
      <c r="I78">
        <v>0.32083098638411628</v>
      </c>
      <c r="J78">
        <v>3820000</v>
      </c>
      <c r="K78" s="9">
        <f>J78*0.00123348</f>
        <v>4711.8935999999994</v>
      </c>
      <c r="L78" s="4">
        <f>(K78-E78)/E78</f>
        <v>-1.3582631210790675E-6</v>
      </c>
      <c r="M78">
        <v>71000</v>
      </c>
      <c r="N78" s="12">
        <f>M78*0.00404686</f>
        <v>287.32706000000002</v>
      </c>
      <c r="O78" s="4">
        <f>(N78-F78)/F78</f>
        <v>1.1861271227707106</v>
      </c>
      <c r="P78">
        <v>200</v>
      </c>
      <c r="Q78" s="9">
        <f>P78*0.3048</f>
        <v>60.96</v>
      </c>
      <c r="R78" s="4">
        <f>(Q78-G78)/G78</f>
        <v>-6.557377049180188E-4</v>
      </c>
    </row>
    <row r="79" spans="1:18" x14ac:dyDescent="0.3">
      <c r="A79" s="6">
        <v>753</v>
      </c>
      <c r="B79" t="s">
        <v>87</v>
      </c>
      <c r="C79" t="s">
        <v>88</v>
      </c>
      <c r="D79" t="s">
        <v>89</v>
      </c>
      <c r="E79">
        <v>32070.5</v>
      </c>
      <c r="F79">
        <v>1130.0640000000001</v>
      </c>
      <c r="G79">
        <v>64</v>
      </c>
      <c r="H79">
        <v>566</v>
      </c>
      <c r="I79">
        <v>0.94374706987463641</v>
      </c>
      <c r="J79">
        <v>26000000</v>
      </c>
      <c r="K79" s="9">
        <f>J79*0.00123348</f>
        <v>32070.479999999996</v>
      </c>
      <c r="L79" s="4">
        <f>(K79-E79)/E79</f>
        <v>-6.2362607393319523E-7</v>
      </c>
      <c r="M79">
        <v>133000</v>
      </c>
      <c r="N79" s="12">
        <f>M79*0.00404686</f>
        <v>538.23238000000003</v>
      </c>
      <c r="O79" s="4">
        <f>(N79-F79)/F79</f>
        <v>-0.52371513471803366</v>
      </c>
      <c r="P79">
        <v>210</v>
      </c>
      <c r="Q79" s="9">
        <f>P79*0.3048</f>
        <v>64.00800000000001</v>
      </c>
      <c r="R79" s="4">
        <f>(Q79-G79)/G79</f>
        <v>1.2500000000015277E-4</v>
      </c>
    </row>
    <row r="80" spans="1:18" x14ac:dyDescent="0.3">
      <c r="A80" s="6">
        <v>1796</v>
      </c>
      <c r="B80" t="s">
        <v>224</v>
      </c>
      <c r="C80" t="s">
        <v>225</v>
      </c>
      <c r="D80" t="s">
        <v>219</v>
      </c>
      <c r="E80">
        <v>2031</v>
      </c>
      <c r="F80">
        <v>36.969000000000001</v>
      </c>
      <c r="G80">
        <v>34</v>
      </c>
      <c r="H80">
        <v>81</v>
      </c>
      <c r="I80">
        <v>0.74840488882869127</v>
      </c>
      <c r="J80">
        <v>1646560</v>
      </c>
      <c r="K80" s="9">
        <f>J80*0.00123348</f>
        <v>2030.9988288</v>
      </c>
      <c r="L80" s="4">
        <f>(K80-E80)/E80</f>
        <v>-5.7666174300558189E-7</v>
      </c>
      <c r="M80">
        <v>13940</v>
      </c>
      <c r="N80" s="12">
        <f>M80*0.00404686</f>
        <v>56.413228400000001</v>
      </c>
      <c r="O80" s="4">
        <f>(N80-F80)/F80</f>
        <v>0.5259603559739241</v>
      </c>
      <c r="P80">
        <v>114</v>
      </c>
      <c r="Q80" s="9">
        <f>P80*0.3048</f>
        <v>34.747199999999999</v>
      </c>
      <c r="R80" s="4">
        <f>(Q80-G80)/G80</f>
        <v>2.1976470588235278E-2</v>
      </c>
    </row>
    <row r="81" spans="1:18" x14ac:dyDescent="0.3">
      <c r="A81" s="6">
        <v>575</v>
      </c>
      <c r="B81" t="s">
        <v>78</v>
      </c>
      <c r="C81" t="s">
        <v>78</v>
      </c>
      <c r="D81" t="s">
        <v>60</v>
      </c>
      <c r="E81">
        <v>168</v>
      </c>
      <c r="F81">
        <v>9.8469999999999995</v>
      </c>
      <c r="G81">
        <v>49</v>
      </c>
      <c r="H81">
        <v>2339</v>
      </c>
      <c r="I81">
        <v>0.64092449656441763</v>
      </c>
      <c r="J81">
        <v>136200</v>
      </c>
      <c r="K81" s="9">
        <f>J81*0.00123348</f>
        <v>167.99997599999998</v>
      </c>
      <c r="L81" s="4">
        <f>(K81-E81)/E81</f>
        <v>-1.4285714300399377E-7</v>
      </c>
      <c r="M81">
        <v>2803</v>
      </c>
      <c r="N81" s="12">
        <f>M81*0.00404686</f>
        <v>11.343348580000001</v>
      </c>
      <c r="O81" s="4">
        <f>(N81-F81)/F81</f>
        <v>0.15195984360719014</v>
      </c>
      <c r="P81">
        <v>162</v>
      </c>
      <c r="Q81" s="9">
        <f>P81*0.3048</f>
        <v>49.377600000000001</v>
      </c>
      <c r="R81" s="4">
        <f>(Q81-G81)/G81</f>
        <v>7.7061224489796132E-3</v>
      </c>
    </row>
    <row r="82" spans="1:18" x14ac:dyDescent="0.3">
      <c r="A82" s="6">
        <v>1026</v>
      </c>
      <c r="B82" t="s">
        <v>129</v>
      </c>
      <c r="C82" t="s">
        <v>130</v>
      </c>
      <c r="D82" t="s">
        <v>114</v>
      </c>
      <c r="E82">
        <v>4270.3</v>
      </c>
      <c r="F82">
        <v>118.10599999999999</v>
      </c>
      <c r="G82">
        <v>79</v>
      </c>
      <c r="H82">
        <v>289</v>
      </c>
      <c r="I82">
        <v>0.75577456725785841</v>
      </c>
      <c r="J82">
        <v>3462000</v>
      </c>
      <c r="K82" s="9">
        <f>J82*0.00123348</f>
        <v>4270.3077599999997</v>
      </c>
      <c r="L82" s="4">
        <f>(K82-E82)/E82</f>
        <v>1.8172025383479548E-6</v>
      </c>
      <c r="M82">
        <v>43100</v>
      </c>
      <c r="N82" s="12">
        <f>M82*0.00404686</f>
        <v>174.41966600000001</v>
      </c>
      <c r="O82" s="4">
        <f>(N82-F82)/F82</f>
        <v>0.47680614024689699</v>
      </c>
      <c r="P82">
        <v>260</v>
      </c>
      <c r="Q82" s="9">
        <f>P82*0.3048</f>
        <v>79.248000000000005</v>
      </c>
      <c r="R82" s="4">
        <f>(Q82-G82)/G82</f>
        <v>3.1392405063291728E-3</v>
      </c>
    </row>
    <row r="83" spans="1:18" x14ac:dyDescent="0.3">
      <c r="A83" s="6">
        <v>132</v>
      </c>
      <c r="B83" t="s">
        <v>256</v>
      </c>
      <c r="C83" t="s">
        <v>257</v>
      </c>
      <c r="D83" t="s">
        <v>13</v>
      </c>
      <c r="E83">
        <v>5750.3</v>
      </c>
      <c r="F83">
        <v>122.3</v>
      </c>
      <c r="G83">
        <v>183</v>
      </c>
      <c r="H83">
        <v>328</v>
      </c>
      <c r="J83">
        <v>4661860</v>
      </c>
      <c r="K83" s="9">
        <f>J83*0.00123348</f>
        <v>5750.3110727999992</v>
      </c>
      <c r="L83" s="4">
        <f>(K83-E83)/E83</f>
        <v>1.9256038813724258E-6</v>
      </c>
      <c r="M83">
        <v>30210</v>
      </c>
      <c r="N83" s="12">
        <f>M83*0.00404686</f>
        <v>122.25564060000001</v>
      </c>
      <c r="O83" s="4">
        <f>(N83-F83)/F83</f>
        <v>-3.6270973017163123E-4</v>
      </c>
      <c r="P83">
        <v>602</v>
      </c>
      <c r="Q83" s="9">
        <f>P83*0.3048</f>
        <v>183.4896</v>
      </c>
      <c r="R83" s="4">
        <f>(Q83-G83)/G83</f>
        <v>2.6754098360655511E-3</v>
      </c>
    </row>
    <row r="84" spans="1:18" x14ac:dyDescent="0.3">
      <c r="A84" s="6">
        <v>1752</v>
      </c>
      <c r="B84" t="s">
        <v>201</v>
      </c>
      <c r="C84" t="s">
        <v>202</v>
      </c>
      <c r="D84" t="s">
        <v>192</v>
      </c>
      <c r="E84">
        <v>2568.1</v>
      </c>
      <c r="F84">
        <v>255.214</v>
      </c>
      <c r="G84">
        <v>48</v>
      </c>
      <c r="H84">
        <v>118</v>
      </c>
      <c r="I84">
        <v>-0.65815248099723411</v>
      </c>
      <c r="J84">
        <v>2082000</v>
      </c>
      <c r="K84" s="9">
        <f>J84*0.00123348</f>
        <v>2568.10536</v>
      </c>
      <c r="L84" s="4">
        <f>(K84-E84)/E84</f>
        <v>2.0871461392117604E-6</v>
      </c>
      <c r="M84">
        <v>57920</v>
      </c>
      <c r="N84" s="12">
        <f>M84*0.00404686</f>
        <v>234.3941312</v>
      </c>
      <c r="O84" s="4">
        <f>(N84-F84)/F84</f>
        <v>-8.1578082707061503E-2</v>
      </c>
      <c r="P84">
        <v>157</v>
      </c>
      <c r="Q84" s="9">
        <f>P84*0.3048</f>
        <v>47.8536</v>
      </c>
      <c r="R84" s="4">
        <f>(Q84-G84)/G84</f>
        <v>-3.0499999999999972E-3</v>
      </c>
    </row>
    <row r="85" spans="1:18" x14ac:dyDescent="0.3">
      <c r="A85" s="6">
        <v>1761</v>
      </c>
      <c r="B85" t="s">
        <v>210</v>
      </c>
      <c r="C85" t="s">
        <v>211</v>
      </c>
      <c r="D85" t="s">
        <v>200</v>
      </c>
      <c r="E85">
        <v>4148.8</v>
      </c>
      <c r="F85">
        <v>180.923</v>
      </c>
      <c r="G85">
        <v>44</v>
      </c>
      <c r="H85">
        <v>98</v>
      </c>
      <c r="I85">
        <v>0.71812919144084997</v>
      </c>
      <c r="J85">
        <v>3363500</v>
      </c>
      <c r="K85" s="9">
        <f>J85*0.00123348</f>
        <v>4148.80998</v>
      </c>
      <c r="L85" s="4">
        <f>(K85-E85)/E85</f>
        <v>2.4055148476219694E-6</v>
      </c>
      <c r="M85">
        <v>48900</v>
      </c>
      <c r="N85" s="12">
        <f>M85*0.00404686</f>
        <v>197.89145400000001</v>
      </c>
      <c r="O85" s="4">
        <f>(N85-F85)/F85</f>
        <v>9.3788263515418205E-2</v>
      </c>
      <c r="P85">
        <v>114</v>
      </c>
      <c r="Q85" s="9">
        <f>P85*0.3048</f>
        <v>34.747199999999999</v>
      </c>
      <c r="R85" s="4">
        <f>(Q85-G85)/G85</f>
        <v>-0.21029090909090911</v>
      </c>
    </row>
    <row r="86" spans="1:18" x14ac:dyDescent="0.3">
      <c r="A86" s="6">
        <v>870</v>
      </c>
      <c r="B86" t="s">
        <v>96</v>
      </c>
      <c r="C86" t="s">
        <v>97</v>
      </c>
      <c r="D86" t="s">
        <v>95</v>
      </c>
      <c r="E86">
        <v>29110</v>
      </c>
      <c r="F86">
        <v>1095.03</v>
      </c>
      <c r="G86">
        <v>75</v>
      </c>
      <c r="H86">
        <v>506</v>
      </c>
      <c r="I86">
        <v>0.79971225263185852</v>
      </c>
      <c r="J86">
        <v>23600000</v>
      </c>
      <c r="K86" s="9">
        <f>J86*0.00123348</f>
        <v>29110.127999999997</v>
      </c>
      <c r="L86" s="4">
        <f>(K86-E86)/E86</f>
        <v>4.3971143935751699E-6</v>
      </c>
      <c r="M86">
        <v>376000</v>
      </c>
      <c r="N86" s="12">
        <f>M86*0.00404686</f>
        <v>1521.6193600000001</v>
      </c>
      <c r="O86" s="4">
        <f>(N86-F86)/F86</f>
        <v>0.38956865108718497</v>
      </c>
      <c r="P86">
        <v>245</v>
      </c>
      <c r="Q86" s="9">
        <f>P86*0.3048</f>
        <v>74.676000000000002</v>
      </c>
      <c r="R86" s="4">
        <f>(Q86-G86)/G86</f>
        <v>-4.319999999999974E-3</v>
      </c>
    </row>
    <row r="87" spans="1:18" x14ac:dyDescent="0.3">
      <c r="A87" s="6">
        <v>148</v>
      </c>
      <c r="B87" t="s">
        <v>259</v>
      </c>
      <c r="C87" t="s">
        <v>260</v>
      </c>
      <c r="D87" t="s">
        <v>13</v>
      </c>
      <c r="E87">
        <v>4366.5</v>
      </c>
      <c r="F87">
        <v>63.9</v>
      </c>
      <c r="G87">
        <v>235</v>
      </c>
      <c r="H87">
        <v>254</v>
      </c>
      <c r="J87">
        <v>3540000</v>
      </c>
      <c r="K87" s="9">
        <f>J87*0.00123348</f>
        <v>4366.5191999999997</v>
      </c>
      <c r="L87" s="4">
        <f>(K87-E87)/E87</f>
        <v>4.3971143936168278E-6</v>
      </c>
      <c r="M87">
        <v>15800</v>
      </c>
      <c r="N87" s="12">
        <f>M87*0.00404686</f>
        <v>63.940388000000006</v>
      </c>
      <c r="O87" s="4">
        <f>(N87-F87)/F87</f>
        <v>6.3205007824737396E-4</v>
      </c>
      <c r="P87">
        <v>770</v>
      </c>
      <c r="Q87" s="9">
        <f>P87*0.3048</f>
        <v>234.696</v>
      </c>
      <c r="R87" s="4">
        <f>(Q87-G87)/G87</f>
        <v>-1.2936170212766046E-3</v>
      </c>
    </row>
    <row r="88" spans="1:18" x14ac:dyDescent="0.3">
      <c r="A88" s="6">
        <v>1067</v>
      </c>
      <c r="B88" t="s">
        <v>143</v>
      </c>
      <c r="C88" t="s">
        <v>144</v>
      </c>
      <c r="D88" t="s">
        <v>136</v>
      </c>
      <c r="E88">
        <v>3508</v>
      </c>
      <c r="F88">
        <v>118.455</v>
      </c>
      <c r="G88">
        <v>75</v>
      </c>
      <c r="H88">
        <v>153</v>
      </c>
      <c r="I88">
        <v>0.83962017424426982</v>
      </c>
      <c r="J88">
        <v>2844000</v>
      </c>
      <c r="K88" s="9">
        <f>J88*0.00123348</f>
        <v>3508.0171199999995</v>
      </c>
      <c r="L88" s="4">
        <f>(K88-E88)/E88</f>
        <v>4.8802736600691012E-6</v>
      </c>
      <c r="M88">
        <v>31460</v>
      </c>
      <c r="N88" s="12">
        <f>M88*0.00404686</f>
        <v>127.31421560000001</v>
      </c>
      <c r="O88" s="4">
        <f>(N88-F88)/F88</f>
        <v>7.4789714237474256E-2</v>
      </c>
      <c r="P88">
        <v>251</v>
      </c>
      <c r="Q88" s="9">
        <f>P88*0.3048</f>
        <v>76.504800000000003</v>
      </c>
      <c r="R88" s="4">
        <f>(Q88-G88)/G88</f>
        <v>2.006400000000004E-2</v>
      </c>
    </row>
    <row r="89" spans="1:18" x14ac:dyDescent="0.3">
      <c r="A89" s="6">
        <v>1086</v>
      </c>
      <c r="B89" t="s">
        <v>149</v>
      </c>
      <c r="C89" t="s">
        <v>150</v>
      </c>
      <c r="D89" t="s">
        <v>83</v>
      </c>
      <c r="E89">
        <v>884.4</v>
      </c>
      <c r="F89">
        <v>11.808</v>
      </c>
      <c r="G89">
        <v>60</v>
      </c>
      <c r="H89">
        <v>1471</v>
      </c>
      <c r="I89">
        <v>0.80826316217278127</v>
      </c>
      <c r="J89">
        <v>717000</v>
      </c>
      <c r="K89" s="9">
        <f>J89*0.00123348</f>
        <v>884.40515999999991</v>
      </c>
      <c r="L89" s="4">
        <f>(K89-E89)/E89</f>
        <v>5.8344640433430034E-6</v>
      </c>
      <c r="M89">
        <v>16670</v>
      </c>
      <c r="N89" s="12">
        <f>M89*0.00404686</f>
        <v>67.461156200000005</v>
      </c>
      <c r="O89" s="4">
        <f>(N89-F89)/F89</f>
        <v>4.7131737974254744</v>
      </c>
      <c r="P89">
        <v>214</v>
      </c>
      <c r="Q89" s="9">
        <f>P89*0.3048</f>
        <v>65.227199999999996</v>
      </c>
      <c r="R89" s="4">
        <f>(Q89-G89)/G89</f>
        <v>8.7119999999999934E-2</v>
      </c>
    </row>
    <row r="90" spans="1:18" x14ac:dyDescent="0.3">
      <c r="A90" s="6">
        <v>1754</v>
      </c>
      <c r="B90" t="s">
        <v>204</v>
      </c>
      <c r="C90" t="s">
        <v>205</v>
      </c>
      <c r="D90" t="s">
        <v>192</v>
      </c>
      <c r="E90">
        <v>537.29999999999995</v>
      </c>
      <c r="F90">
        <v>19.030999999999999</v>
      </c>
      <c r="G90">
        <v>86</v>
      </c>
      <c r="H90">
        <v>315</v>
      </c>
      <c r="I90">
        <v>0.716660489657863</v>
      </c>
      <c r="J90">
        <v>435600</v>
      </c>
      <c r="K90" s="9">
        <f>J90*0.00123348</f>
        <v>537.30388799999992</v>
      </c>
      <c r="L90" s="4">
        <f>(K90-E90)/E90</f>
        <v>7.2361809044496784E-6</v>
      </c>
      <c r="M90">
        <v>6060</v>
      </c>
      <c r="N90" s="12">
        <f>M90*0.00404686</f>
        <v>24.523971600000003</v>
      </c>
      <c r="O90" s="4">
        <f>(N90-F90)/F90</f>
        <v>0.28863284115390703</v>
      </c>
      <c r="P90">
        <v>282</v>
      </c>
      <c r="Q90" s="9">
        <f>P90*0.3048</f>
        <v>85.953600000000009</v>
      </c>
      <c r="R90" s="4">
        <f>(Q90-G90)/G90</f>
        <v>-5.3953488372082952E-4</v>
      </c>
    </row>
    <row r="91" spans="1:18" x14ac:dyDescent="0.3">
      <c r="A91" s="6">
        <v>1762</v>
      </c>
      <c r="B91" t="s">
        <v>212</v>
      </c>
      <c r="C91" t="s">
        <v>213</v>
      </c>
      <c r="D91" t="s">
        <v>214</v>
      </c>
      <c r="E91">
        <v>2104.3000000000002</v>
      </c>
      <c r="F91">
        <v>89.644999999999996</v>
      </c>
      <c r="G91">
        <v>54</v>
      </c>
      <c r="H91">
        <v>207</v>
      </c>
      <c r="I91">
        <v>0.87730122877888472</v>
      </c>
      <c r="J91">
        <v>1706000</v>
      </c>
      <c r="K91" s="9">
        <f>J91*0.00123348</f>
        <v>2104.3168799999999</v>
      </c>
      <c r="L91" s="4">
        <f>(K91-E91)/E91</f>
        <v>8.0216699138305364E-6</v>
      </c>
      <c r="M91">
        <v>27700</v>
      </c>
      <c r="N91" s="12">
        <f>M91*0.00404686</f>
        <v>112.098022</v>
      </c>
      <c r="O91" s="4">
        <f>(N91-F91)/F91</f>
        <v>0.25046597133136267</v>
      </c>
      <c r="P91">
        <v>200</v>
      </c>
      <c r="Q91" s="9">
        <f>P91*0.3048</f>
        <v>60.96</v>
      </c>
      <c r="R91" s="4">
        <f>(Q91-G91)/G91</f>
        <v>0.12888888888888891</v>
      </c>
    </row>
    <row r="92" spans="1:18" x14ac:dyDescent="0.3">
      <c r="A92" s="6">
        <v>1144</v>
      </c>
      <c r="B92" t="s">
        <v>166</v>
      </c>
      <c r="C92" t="s">
        <v>167</v>
      </c>
      <c r="D92" t="s">
        <v>136</v>
      </c>
      <c r="E92">
        <v>2288</v>
      </c>
      <c r="F92">
        <v>93.179000000000002</v>
      </c>
      <c r="G92">
        <v>27</v>
      </c>
      <c r="H92">
        <v>92</v>
      </c>
      <c r="I92">
        <v>0.1220969668163744</v>
      </c>
      <c r="J92">
        <v>1854930</v>
      </c>
      <c r="K92" s="9">
        <f>J92*0.00123348</f>
        <v>2288.0190564</v>
      </c>
      <c r="L92" s="4">
        <f>(K92-E92)/E92</f>
        <v>8.3288461538260534E-6</v>
      </c>
      <c r="M92">
        <v>29000</v>
      </c>
      <c r="N92" s="12">
        <f>M92*0.00404686</f>
        <v>117.35894</v>
      </c>
      <c r="O92" s="4">
        <f>(N92-F92)/F92</f>
        <v>0.25949988731366513</v>
      </c>
      <c r="P92">
        <v>88</v>
      </c>
      <c r="Q92" s="9">
        <f>P92*0.3048</f>
        <v>26.822400000000002</v>
      </c>
      <c r="R92" s="4">
        <f>(Q92-G92)/G92</f>
        <v>-6.5777777777777111E-3</v>
      </c>
    </row>
    <row r="93" spans="1:18" x14ac:dyDescent="0.3">
      <c r="A93" s="6">
        <v>657</v>
      </c>
      <c r="B93" t="s">
        <v>84</v>
      </c>
      <c r="C93" t="s">
        <v>85</v>
      </c>
      <c r="D93" t="s">
        <v>83</v>
      </c>
      <c r="E93">
        <v>3198.7</v>
      </c>
      <c r="F93">
        <v>110.325</v>
      </c>
      <c r="G93">
        <v>98</v>
      </c>
      <c r="H93">
        <v>1345</v>
      </c>
      <c r="I93">
        <v>0.39307332625845981</v>
      </c>
      <c r="J93">
        <v>2593255</v>
      </c>
      <c r="K93" s="9">
        <f>J93*0.00123348</f>
        <v>3198.7281773999998</v>
      </c>
      <c r="L93" s="4">
        <f>(K93-E93)/E93</f>
        <v>8.8090161628174341E-6</v>
      </c>
      <c r="M93">
        <v>42750</v>
      </c>
      <c r="N93" s="12">
        <f>M93*0.00404686</f>
        <v>173.003265</v>
      </c>
      <c r="O93" s="4">
        <f>(N93-F93)/F93</f>
        <v>0.56812386131883064</v>
      </c>
      <c r="P93">
        <v>306</v>
      </c>
      <c r="Q93" s="9">
        <f>P93*0.3048</f>
        <v>93.268799999999999</v>
      </c>
      <c r="R93" s="4">
        <f>(Q93-G93)/G93</f>
        <v>-4.8277551020408177E-2</v>
      </c>
    </row>
    <row r="94" spans="1:18" x14ac:dyDescent="0.3">
      <c r="A94" s="6">
        <v>1202</v>
      </c>
      <c r="B94" t="s">
        <v>168</v>
      </c>
      <c r="C94" t="s">
        <v>168</v>
      </c>
      <c r="D94" t="s">
        <v>83</v>
      </c>
      <c r="E94">
        <v>1191.9000000000001</v>
      </c>
      <c r="F94">
        <v>7.3620000000000001</v>
      </c>
      <c r="G94">
        <v>44</v>
      </c>
      <c r="H94">
        <v>1008</v>
      </c>
      <c r="I94">
        <v>0.73683450606841827</v>
      </c>
      <c r="J94">
        <v>966300</v>
      </c>
      <c r="K94" s="9">
        <f>J94*0.00123348</f>
        <v>1191.9117239999998</v>
      </c>
      <c r="L94" s="4">
        <f>(K94-E94)/E94</f>
        <v>9.8363956705520174E-6</v>
      </c>
      <c r="M94">
        <v>39301</v>
      </c>
      <c r="N94" s="12">
        <f>M94*0.00404686</f>
        <v>159.04564486000001</v>
      </c>
      <c r="O94" s="4">
        <f>(N94-F94)/F94</f>
        <v>20.603592075522958</v>
      </c>
      <c r="P94">
        <v>144</v>
      </c>
      <c r="Q94" s="9">
        <f>P94*0.3048</f>
        <v>43.891200000000005</v>
      </c>
      <c r="R94" s="4">
        <f>(Q94-G94)/G94</f>
        <v>-2.4727272727271617E-3</v>
      </c>
    </row>
    <row r="95" spans="1:18" x14ac:dyDescent="0.3">
      <c r="A95" s="6">
        <v>7308</v>
      </c>
      <c r="B95" t="s">
        <v>240</v>
      </c>
      <c r="C95" t="s">
        <v>241</v>
      </c>
      <c r="D95" t="s">
        <v>239</v>
      </c>
      <c r="E95">
        <v>1835.6</v>
      </c>
      <c r="F95">
        <v>102.223</v>
      </c>
      <c r="G95">
        <v>59</v>
      </c>
      <c r="H95">
        <v>147</v>
      </c>
      <c r="I95">
        <v>0.48214232783582739</v>
      </c>
      <c r="J95">
        <v>1488166</v>
      </c>
      <c r="K95" s="9">
        <f>J95*0.00123348</f>
        <v>1835.6229976799998</v>
      </c>
      <c r="L95" s="4">
        <f>(K95-E95)/E95</f>
        <v>1.2528699062916453E-5</v>
      </c>
      <c r="M95">
        <v>26653</v>
      </c>
      <c r="N95" s="12">
        <f>M95*0.00404686</f>
        <v>107.86095958</v>
      </c>
      <c r="O95" s="4">
        <f>(N95-F95)/F95</f>
        <v>5.5153532766598519E-2</v>
      </c>
      <c r="P95">
        <v>195</v>
      </c>
      <c r="Q95" s="9">
        <f>P95*0.3048</f>
        <v>59.436</v>
      </c>
      <c r="R95" s="4">
        <f>(Q95-G95)/G95</f>
        <v>7.389830508474575E-3</v>
      </c>
    </row>
    <row r="96" spans="1:18" x14ac:dyDescent="0.3">
      <c r="A96" s="6">
        <v>1032</v>
      </c>
      <c r="B96" t="s">
        <v>133</v>
      </c>
      <c r="C96" t="s">
        <v>133</v>
      </c>
      <c r="D96" t="s">
        <v>126</v>
      </c>
      <c r="E96">
        <v>1923.3</v>
      </c>
      <c r="F96">
        <v>114.74</v>
      </c>
      <c r="G96">
        <v>42</v>
      </c>
      <c r="H96">
        <v>209</v>
      </c>
      <c r="I96">
        <v>0.20807620806243371</v>
      </c>
      <c r="J96">
        <v>1559270</v>
      </c>
      <c r="K96" s="9">
        <f>J96*0.00123348</f>
        <v>1923.3283595999999</v>
      </c>
      <c r="L96" s="4">
        <f>(K96-E96)/E96</f>
        <v>1.4745281547304451E-5</v>
      </c>
      <c r="M96">
        <v>31040</v>
      </c>
      <c r="N96" s="12">
        <f>M96*0.00404686</f>
        <v>125.61453440000001</v>
      </c>
      <c r="O96" s="4">
        <f>(N96-F96)/F96</f>
        <v>9.4775443611643861E-2</v>
      </c>
      <c r="P96">
        <v>137</v>
      </c>
      <c r="Q96" s="9">
        <f>P96*0.3048</f>
        <v>41.757600000000004</v>
      </c>
      <c r="R96" s="4">
        <f>(Q96-G96)/G96</f>
        <v>-5.7714285714284856E-3</v>
      </c>
    </row>
    <row r="97" spans="1:18" x14ac:dyDescent="0.3">
      <c r="A97" s="6">
        <v>1121</v>
      </c>
      <c r="B97" t="s">
        <v>159</v>
      </c>
      <c r="C97" t="s">
        <v>160</v>
      </c>
      <c r="D97" t="s">
        <v>136</v>
      </c>
      <c r="E97">
        <v>1698.6</v>
      </c>
      <c r="F97">
        <v>45.197000000000003</v>
      </c>
      <c r="G97">
        <v>74</v>
      </c>
      <c r="H97">
        <v>138</v>
      </c>
      <c r="I97">
        <v>0.6919646376054156</v>
      </c>
      <c r="J97">
        <v>1377100</v>
      </c>
      <c r="K97" s="9">
        <f>J97*0.00123348</f>
        <v>1698.6253079999999</v>
      </c>
      <c r="L97" s="4">
        <f>(K97-E97)/E97</f>
        <v>1.4899328859057721E-5</v>
      </c>
      <c r="M97">
        <v>13400</v>
      </c>
      <c r="N97" s="12">
        <f>M97*0.00404686</f>
        <v>54.227924000000002</v>
      </c>
      <c r="O97" s="4">
        <f>(N97-F97)/F97</f>
        <v>0.19981246542912137</v>
      </c>
      <c r="P97">
        <v>98</v>
      </c>
      <c r="Q97" s="9">
        <f>P97*0.3048</f>
        <v>29.8704</v>
      </c>
      <c r="R97" s="4">
        <f>(Q97-G97)/G97</f>
        <v>-0.59634594594594592</v>
      </c>
    </row>
    <row r="98" spans="1:18" x14ac:dyDescent="0.3">
      <c r="A98" s="6">
        <v>1023</v>
      </c>
      <c r="B98" t="s">
        <v>128</v>
      </c>
      <c r="C98" t="s">
        <v>128</v>
      </c>
      <c r="D98" t="s">
        <v>126</v>
      </c>
      <c r="E98">
        <v>1637</v>
      </c>
      <c r="F98">
        <v>58.758000000000003</v>
      </c>
      <c r="G98">
        <v>38</v>
      </c>
      <c r="H98">
        <v>322</v>
      </c>
      <c r="I98">
        <v>0.82276633325663306</v>
      </c>
      <c r="J98">
        <v>1327160</v>
      </c>
      <c r="K98" s="9">
        <f>J98*0.00123348</f>
        <v>1637.0253167999999</v>
      </c>
      <c r="L98" s="4">
        <f>(K98-E98)/E98</f>
        <v>1.5465363469717626E-5</v>
      </c>
      <c r="M98">
        <v>16750</v>
      </c>
      <c r="N98" s="12">
        <f>M98*0.00404686</f>
        <v>67.784905000000009</v>
      </c>
      <c r="O98" s="4">
        <f>(N98-F98)/F98</f>
        <v>0.15362852717927783</v>
      </c>
      <c r="P98">
        <v>125</v>
      </c>
      <c r="Q98" s="9">
        <f>P98*0.3048</f>
        <v>38.1</v>
      </c>
      <c r="R98" s="4">
        <f>(Q98-G98)/G98</f>
        <v>2.6315789473684583E-3</v>
      </c>
    </row>
    <row r="99" spans="1:18" x14ac:dyDescent="0.3">
      <c r="A99" s="6">
        <v>1777</v>
      </c>
      <c r="B99" t="s">
        <v>220</v>
      </c>
      <c r="C99" t="s">
        <v>221</v>
      </c>
      <c r="D99" t="s">
        <v>214</v>
      </c>
      <c r="E99">
        <v>2580.4</v>
      </c>
      <c r="F99">
        <v>59.546999999999997</v>
      </c>
      <c r="G99">
        <v>76</v>
      </c>
      <c r="H99">
        <v>209</v>
      </c>
      <c r="I99">
        <v>0.9944208634156011</v>
      </c>
      <c r="J99">
        <v>2092000</v>
      </c>
      <c r="K99" s="9">
        <f>J99*0.00123348</f>
        <v>2580.4401599999997</v>
      </c>
      <c r="L99" s="4">
        <f>(K99-E99)/E99</f>
        <v>1.5563478530289745E-5</v>
      </c>
      <c r="M99">
        <v>18220</v>
      </c>
      <c r="N99" s="12">
        <f>M99*0.00404686</f>
        <v>73.733789200000004</v>
      </c>
      <c r="O99" s="4">
        <f>(N99-F99)/F99</f>
        <v>0.2382452382151915</v>
      </c>
      <c r="P99">
        <v>125</v>
      </c>
      <c r="Q99" s="9">
        <f>P99*0.3048</f>
        <v>38.1</v>
      </c>
      <c r="R99" s="4">
        <f>(Q99-G99)/G99</f>
        <v>-0.49868421052631579</v>
      </c>
    </row>
    <row r="100" spans="1:18" x14ac:dyDescent="0.3">
      <c r="A100" s="6">
        <v>1048</v>
      </c>
      <c r="B100" t="s">
        <v>141</v>
      </c>
      <c r="C100" t="s">
        <v>141</v>
      </c>
      <c r="D100" t="s">
        <v>126</v>
      </c>
      <c r="E100">
        <v>2063.1</v>
      </c>
      <c r="F100">
        <v>79.644000000000005</v>
      </c>
      <c r="G100">
        <v>37</v>
      </c>
      <c r="H100">
        <v>235</v>
      </c>
      <c r="I100">
        <v>0.63151272693310578</v>
      </c>
      <c r="J100">
        <v>1672613</v>
      </c>
      <c r="K100" s="9">
        <f>J100*0.00123348</f>
        <v>2063.13468324</v>
      </c>
      <c r="L100" s="4">
        <f>(K100-E100)/E100</f>
        <v>1.6811225825238431E-5</v>
      </c>
      <c r="M100">
        <v>22420</v>
      </c>
      <c r="N100" s="12">
        <f>M100*0.00404686</f>
        <v>90.730601200000009</v>
      </c>
      <c r="O100" s="4">
        <f>(N100-F100)/F100</f>
        <v>0.13920196373863697</v>
      </c>
      <c r="P100">
        <v>121</v>
      </c>
      <c r="Q100" s="9">
        <f>P100*0.3048</f>
        <v>36.880800000000001</v>
      </c>
      <c r="R100" s="4">
        <f>(Q100-G100)/G100</f>
        <v>-3.2216216216216027E-3</v>
      </c>
    </row>
    <row r="101" spans="1:18" x14ac:dyDescent="0.3">
      <c r="A101" s="6">
        <v>1864</v>
      </c>
      <c r="B101" t="s">
        <v>231</v>
      </c>
      <c r="C101" t="s">
        <v>232</v>
      </c>
      <c r="D101" t="s">
        <v>154</v>
      </c>
      <c r="E101">
        <v>1496.8</v>
      </c>
      <c r="F101">
        <v>58.991999999999997</v>
      </c>
      <c r="G101">
        <v>30</v>
      </c>
      <c r="H101">
        <v>102</v>
      </c>
      <c r="I101">
        <v>0.79973985246882129</v>
      </c>
      <c r="J101">
        <v>1213500</v>
      </c>
      <c r="K101" s="9">
        <f>J101*0.00123348</f>
        <v>1496.8279799999998</v>
      </c>
      <c r="L101" s="4">
        <f>(K101-E101)/E101</f>
        <v>1.8693212185891991E-5</v>
      </c>
      <c r="M101">
        <v>6100</v>
      </c>
      <c r="N101" s="12">
        <f>M101*0.00404686</f>
        <v>24.685846000000002</v>
      </c>
      <c r="O101" s="4">
        <f>(N101-F101)/F101</f>
        <v>-0.58153909004610782</v>
      </c>
      <c r="P101">
        <v>110</v>
      </c>
      <c r="Q101" s="9">
        <f>P101*0.3048</f>
        <v>33.527999999999999</v>
      </c>
      <c r="R101" s="4">
        <f>(Q101-G101)/G101</f>
        <v>0.11759999999999995</v>
      </c>
    </row>
    <row r="102" spans="1:18" x14ac:dyDescent="0.3">
      <c r="A102" s="6">
        <v>419</v>
      </c>
      <c r="C102" t="s">
        <v>37</v>
      </c>
      <c r="D102" t="s">
        <v>32</v>
      </c>
      <c r="E102">
        <v>67.099999999999994</v>
      </c>
      <c r="F102">
        <v>12.99</v>
      </c>
      <c r="G102">
        <v>26</v>
      </c>
      <c r="H102">
        <v>2063</v>
      </c>
      <c r="I102">
        <v>0.35082080661901199</v>
      </c>
      <c r="J102">
        <v>54400</v>
      </c>
      <c r="K102" s="9">
        <f>J102*0.00123348</f>
        <v>67.101311999999993</v>
      </c>
      <c r="L102" s="4">
        <f>(K102-E102)/E102</f>
        <v>1.9552906110263005E-5</v>
      </c>
      <c r="M102">
        <v>3210</v>
      </c>
      <c r="N102" s="12">
        <f>M102*0.00404686</f>
        <v>12.9904206</v>
      </c>
      <c r="O102" s="4">
        <f>(N102-F102)/F102</f>
        <v>3.2378752886835504E-5</v>
      </c>
      <c r="P102">
        <v>22</v>
      </c>
      <c r="Q102" s="9">
        <f>P102*0.3048</f>
        <v>6.7056000000000004</v>
      </c>
      <c r="R102" s="4">
        <f>(Q102-G102)/G102</f>
        <v>-0.74209230769230772</v>
      </c>
    </row>
    <row r="103" spans="1:18" x14ac:dyDescent="0.3">
      <c r="A103" s="6">
        <v>214</v>
      </c>
      <c r="B103" t="s">
        <v>267</v>
      </c>
      <c r="C103" t="s">
        <v>268</v>
      </c>
      <c r="D103" t="s">
        <v>13</v>
      </c>
      <c r="E103">
        <v>1356.8</v>
      </c>
      <c r="F103">
        <v>28.8</v>
      </c>
      <c r="G103">
        <v>149</v>
      </c>
      <c r="H103">
        <v>269</v>
      </c>
      <c r="J103">
        <v>1100000</v>
      </c>
      <c r="K103" s="9">
        <f>J103*0.00123348</f>
        <v>1356.828</v>
      </c>
      <c r="L103" s="4">
        <f>(K103-E103)/E103</f>
        <v>2.0636792452844935E-5</v>
      </c>
      <c r="M103">
        <v>7110</v>
      </c>
      <c r="N103" s="12">
        <f>M103*0.00404686</f>
        <v>28.773174600000001</v>
      </c>
      <c r="O103" s="4">
        <f>(N103-F103)/F103</f>
        <v>-9.3143749999999607E-4</v>
      </c>
      <c r="P103">
        <v>490</v>
      </c>
      <c r="Q103" s="9">
        <f>P103*0.3048</f>
        <v>149.352</v>
      </c>
      <c r="R103" s="4">
        <f>(Q103-G103)/G103</f>
        <v>2.3624161073825764E-3</v>
      </c>
    </row>
    <row r="104" spans="1:18" x14ac:dyDescent="0.3">
      <c r="A104" s="6">
        <v>41</v>
      </c>
      <c r="C104" t="s">
        <v>9</v>
      </c>
      <c r="D104" t="s">
        <v>10</v>
      </c>
      <c r="E104">
        <v>1791.9</v>
      </c>
      <c r="F104">
        <v>47.27</v>
      </c>
      <c r="G104">
        <v>165</v>
      </c>
      <c r="H104">
        <v>492</v>
      </c>
      <c r="I104">
        <v>-0.42058053454346078</v>
      </c>
      <c r="J104">
        <v>1452750</v>
      </c>
      <c r="K104" s="9">
        <f>J104*0.00123348</f>
        <v>1791.9380699999999</v>
      </c>
      <c r="L104" s="4">
        <f>(K104-E104)/E104</f>
        <v>2.1245605223413236E-5</v>
      </c>
      <c r="M104">
        <v>11680</v>
      </c>
      <c r="N104" s="12">
        <f>M104*0.00404686</f>
        <v>47.267324800000004</v>
      </c>
      <c r="O104" s="4">
        <f>(N104-F104)/F104</f>
        <v>-5.6594034271181874E-5</v>
      </c>
      <c r="P104">
        <v>540</v>
      </c>
      <c r="Q104" s="9">
        <f>P104*0.3048</f>
        <v>164.59200000000001</v>
      </c>
      <c r="R104" s="4">
        <f>(Q104-G104)/G104</f>
        <v>-2.4727272727271942E-3</v>
      </c>
    </row>
    <row r="105" spans="1:18" x14ac:dyDescent="0.3">
      <c r="A105" s="6">
        <v>1006</v>
      </c>
      <c r="B105" t="s">
        <v>123</v>
      </c>
      <c r="C105" t="s">
        <v>124</v>
      </c>
      <c r="D105" t="s">
        <v>114</v>
      </c>
      <c r="E105">
        <v>2064.8000000000002</v>
      </c>
      <c r="F105">
        <v>100.77</v>
      </c>
      <c r="G105">
        <v>46</v>
      </c>
      <c r="H105">
        <v>276</v>
      </c>
      <c r="I105">
        <v>0.87601486822137553</v>
      </c>
      <c r="J105">
        <v>1674000</v>
      </c>
      <c r="K105" s="9">
        <f>J105*0.00123348</f>
        <v>2064.8455199999999</v>
      </c>
      <c r="L105" s="4">
        <f>(K105-E105)/E105</f>
        <v>2.2045718713516747E-5</v>
      </c>
      <c r="M105">
        <v>24900</v>
      </c>
      <c r="N105" s="12">
        <f>M105*0.00404686</f>
        <v>100.76681400000001</v>
      </c>
      <c r="O105" s="4">
        <f>(N105-F105)/F105</f>
        <v>-3.1616552545254109E-5</v>
      </c>
      <c r="P105">
        <v>153</v>
      </c>
      <c r="Q105" s="9">
        <f>P105*0.3048</f>
        <v>46.634399999999999</v>
      </c>
      <c r="R105" s="4">
        <f>(Q105-G105)/G105</f>
        <v>1.3791304347826074E-2</v>
      </c>
    </row>
    <row r="106" spans="1:18" x14ac:dyDescent="0.3">
      <c r="A106" s="6">
        <v>987</v>
      </c>
      <c r="B106" t="s">
        <v>119</v>
      </c>
      <c r="C106" t="s">
        <v>119</v>
      </c>
      <c r="D106" t="s">
        <v>60</v>
      </c>
      <c r="E106">
        <v>603.29999999999995</v>
      </c>
      <c r="F106">
        <v>15.670999999999999</v>
      </c>
      <c r="G106">
        <v>75</v>
      </c>
      <c r="H106">
        <v>1501</v>
      </c>
      <c r="I106">
        <v>0.86986182418411107</v>
      </c>
      <c r="J106">
        <v>489116</v>
      </c>
      <c r="K106" s="9">
        <f>J106*0.00123348</f>
        <v>603.31480367999995</v>
      </c>
      <c r="L106" s="4">
        <f>(K106-E106)/E106</f>
        <v>2.4537841869716537E-5</v>
      </c>
      <c r="M106">
        <v>5671</v>
      </c>
      <c r="N106" s="12">
        <f>M106*0.00404686</f>
        <v>22.949743060000003</v>
      </c>
      <c r="O106" s="4">
        <f>(N106-F106)/F106</f>
        <v>0.46447214983089807</v>
      </c>
      <c r="P106">
        <v>245</v>
      </c>
      <c r="Q106" s="9">
        <f>P106*0.3048</f>
        <v>74.676000000000002</v>
      </c>
      <c r="R106" s="4">
        <f>(Q106-G106)/G106</f>
        <v>-4.319999999999974E-3</v>
      </c>
    </row>
    <row r="107" spans="1:18" x14ac:dyDescent="0.3">
      <c r="A107" s="6">
        <v>898</v>
      </c>
      <c r="B107" t="s">
        <v>101</v>
      </c>
      <c r="C107" t="s">
        <v>101</v>
      </c>
      <c r="D107" t="s">
        <v>32</v>
      </c>
      <c r="E107">
        <v>1379.8</v>
      </c>
      <c r="F107">
        <v>36.033000000000001</v>
      </c>
      <c r="G107">
        <v>58</v>
      </c>
      <c r="H107">
        <v>1406</v>
      </c>
      <c r="I107">
        <v>0.85374015209863841</v>
      </c>
      <c r="J107">
        <v>1118653</v>
      </c>
      <c r="K107" s="9">
        <f>J107*0.00123348</f>
        <v>1379.8361024399999</v>
      </c>
      <c r="L107" s="4">
        <f>(K107-E107)/E107</f>
        <v>2.6164980431890387E-5</v>
      </c>
      <c r="M107">
        <v>23320</v>
      </c>
      <c r="N107" s="12">
        <f>M107*0.00404686</f>
        <v>94.372775200000007</v>
      </c>
      <c r="O107" s="4">
        <f>(N107-F107)/F107</f>
        <v>1.6190651680404076</v>
      </c>
      <c r="P107">
        <v>196</v>
      </c>
      <c r="Q107" s="9">
        <f>P107*0.3048</f>
        <v>59.7408</v>
      </c>
      <c r="R107" s="4">
        <f>(Q107-G107)/G107</f>
        <v>3.0013793103448278E-2</v>
      </c>
    </row>
    <row r="108" spans="1:18" x14ac:dyDescent="0.3">
      <c r="A108" s="6">
        <v>620</v>
      </c>
      <c r="B108" t="s">
        <v>288</v>
      </c>
      <c r="C108" t="s">
        <v>289</v>
      </c>
      <c r="D108" t="s">
        <v>13</v>
      </c>
      <c r="E108">
        <v>255.2</v>
      </c>
      <c r="F108">
        <v>12.5</v>
      </c>
      <c r="G108">
        <v>85</v>
      </c>
      <c r="H108">
        <v>233</v>
      </c>
      <c r="J108">
        <v>206900</v>
      </c>
      <c r="K108" s="9">
        <f>J108*0.00123348</f>
        <v>255.20701199999999</v>
      </c>
      <c r="L108" s="4">
        <f>(K108-E108)/E108</f>
        <v>2.7476489028225418E-5</v>
      </c>
      <c r="M108">
        <v>3090</v>
      </c>
      <c r="N108" s="12">
        <f>M108*0.00404686</f>
        <v>12.504797400000001</v>
      </c>
      <c r="O108" s="4">
        <f>(N108-F108)/F108</f>
        <v>3.8379200000008493E-4</v>
      </c>
      <c r="P108">
        <v>279</v>
      </c>
      <c r="Q108" s="9">
        <f>P108*0.3048</f>
        <v>85.039200000000008</v>
      </c>
      <c r="R108" s="4">
        <f>(Q108-G108)/G108</f>
        <v>4.6117647058833077E-4</v>
      </c>
    </row>
    <row r="109" spans="1:18" x14ac:dyDescent="0.3">
      <c r="A109" s="6">
        <v>612</v>
      </c>
      <c r="B109" t="s">
        <v>286</v>
      </c>
      <c r="C109" t="s">
        <v>287</v>
      </c>
      <c r="D109" t="s">
        <v>13</v>
      </c>
      <c r="E109">
        <v>1482.6</v>
      </c>
      <c r="F109">
        <v>45.3</v>
      </c>
      <c r="G109">
        <v>56</v>
      </c>
      <c r="H109">
        <v>803</v>
      </c>
      <c r="J109">
        <v>1202000</v>
      </c>
      <c r="K109" s="9">
        <f>J109*0.00123348</f>
        <v>1482.6429599999999</v>
      </c>
      <c r="L109" s="4">
        <f>(K109-E109)/E109</f>
        <v>2.897612302711026E-5</v>
      </c>
      <c r="M109">
        <v>11200</v>
      </c>
      <c r="N109" s="12">
        <f>M109*0.00404686</f>
        <v>45.324832000000001</v>
      </c>
      <c r="O109" s="4">
        <f>(N109-F109)/F109</f>
        <v>5.481677704195037E-4</v>
      </c>
      <c r="P109">
        <v>185</v>
      </c>
      <c r="Q109" s="9">
        <f>P109*0.3048</f>
        <v>56.388000000000005</v>
      </c>
      <c r="R109" s="4">
        <f>(Q109-G109)/G109</f>
        <v>6.9285714285715217E-3</v>
      </c>
    </row>
    <row r="110" spans="1:18" x14ac:dyDescent="0.3">
      <c r="A110" s="6">
        <v>373</v>
      </c>
      <c r="B110" t="s">
        <v>31</v>
      </c>
      <c r="C110" t="s">
        <v>31</v>
      </c>
      <c r="D110" t="s">
        <v>32</v>
      </c>
      <c r="E110">
        <v>797.5</v>
      </c>
      <c r="F110">
        <v>25.718</v>
      </c>
      <c r="G110">
        <v>107</v>
      </c>
      <c r="H110">
        <v>1638</v>
      </c>
      <c r="I110">
        <v>0.48465165464392368</v>
      </c>
      <c r="J110">
        <v>646565</v>
      </c>
      <c r="K110" s="9">
        <f>J110*0.00123348</f>
        <v>797.52499619999992</v>
      </c>
      <c r="L110" s="4">
        <f>(K110-E110)/E110</f>
        <v>3.1343197492060996E-5</v>
      </c>
      <c r="M110">
        <v>8324</v>
      </c>
      <c r="N110" s="12">
        <f>M110*0.00404686</f>
        <v>33.686062640000003</v>
      </c>
      <c r="O110" s="4">
        <f>(N110-F110)/F110</f>
        <v>0.30982435026051802</v>
      </c>
      <c r="P110">
        <v>350</v>
      </c>
      <c r="Q110" s="9">
        <f>P110*0.3048</f>
        <v>106.68</v>
      </c>
      <c r="R110" s="4">
        <f>(Q110-G110)/G110</f>
        <v>-2.9906542056074127E-3</v>
      </c>
    </row>
    <row r="111" spans="1:18" x14ac:dyDescent="0.3">
      <c r="A111" s="6">
        <v>169</v>
      </c>
      <c r="B111" t="s">
        <v>11</v>
      </c>
      <c r="C111" t="s">
        <v>12</v>
      </c>
      <c r="D111" t="s">
        <v>13</v>
      </c>
      <c r="E111">
        <v>191.8</v>
      </c>
      <c r="F111">
        <v>7.04</v>
      </c>
      <c r="G111">
        <v>55</v>
      </c>
      <c r="H111">
        <v>239</v>
      </c>
      <c r="I111">
        <v>0.76153716911097658</v>
      </c>
      <c r="J111">
        <v>155500</v>
      </c>
      <c r="K111" s="9">
        <f>J111*0.00123348</f>
        <v>191.80614</v>
      </c>
      <c r="L111" s="4">
        <f>(K111-E111)/E111</f>
        <v>3.201251303434735E-5</v>
      </c>
      <c r="M111">
        <v>1740</v>
      </c>
      <c r="N111" s="12">
        <f>M111*0.00404686</f>
        <v>7.0415364</v>
      </c>
      <c r="O111" s="4">
        <f>(N111-F111)/F111</f>
        <v>2.1823863636363542E-4</v>
      </c>
      <c r="P111">
        <v>180</v>
      </c>
      <c r="Q111" s="9">
        <f>P111*0.3048</f>
        <v>54.864000000000004</v>
      </c>
      <c r="R111" s="4">
        <f>(Q111-G111)/G111</f>
        <v>-2.4727272727271942E-3</v>
      </c>
    </row>
    <row r="112" spans="1:18" x14ac:dyDescent="0.3">
      <c r="A112" s="6">
        <v>1254</v>
      </c>
      <c r="C112" t="s">
        <v>173</v>
      </c>
      <c r="D112" t="s">
        <v>172</v>
      </c>
      <c r="E112">
        <v>1195.2</v>
      </c>
      <c r="F112">
        <v>22.774999999999999</v>
      </c>
      <c r="G112">
        <v>44</v>
      </c>
      <c r="H112">
        <v>155</v>
      </c>
      <c r="I112">
        <v>0.82407916322003472</v>
      </c>
      <c r="J112">
        <v>969000</v>
      </c>
      <c r="K112" s="9">
        <f>J112*0.00123348</f>
        <v>1195.2421199999999</v>
      </c>
      <c r="L112" s="4">
        <f>(K112-E112)/E112</f>
        <v>3.5240963855288424E-5</v>
      </c>
      <c r="M112">
        <v>7270</v>
      </c>
      <c r="N112" s="12">
        <f>M112*0.00404686</f>
        <v>29.420672200000002</v>
      </c>
      <c r="O112" s="4">
        <f>(N112-F112)/F112</f>
        <v>0.29179680351262366</v>
      </c>
      <c r="P112">
        <v>145</v>
      </c>
      <c r="Q112" s="9">
        <f>P112*0.3048</f>
        <v>44.196000000000005</v>
      </c>
      <c r="R112" s="4">
        <f>(Q112-G112)/G112</f>
        <v>4.4545454545455694E-3</v>
      </c>
    </row>
    <row r="113" spans="1:18" x14ac:dyDescent="0.3">
      <c r="A113" s="6">
        <v>1775</v>
      </c>
      <c r="B113" t="s">
        <v>215</v>
      </c>
      <c r="C113" t="s">
        <v>216</v>
      </c>
      <c r="D113" t="s">
        <v>214</v>
      </c>
      <c r="E113">
        <v>804.2</v>
      </c>
      <c r="F113">
        <v>52.85</v>
      </c>
      <c r="G113">
        <v>45</v>
      </c>
      <c r="H113">
        <v>154</v>
      </c>
      <c r="I113">
        <v>0.48212585537110031</v>
      </c>
      <c r="J113">
        <v>652000</v>
      </c>
      <c r="K113" s="9">
        <f>J113*0.00123348</f>
        <v>804.22895999999992</v>
      </c>
      <c r="L113" s="4">
        <f>(K113-E113)/E113</f>
        <v>3.6010942551442402E-5</v>
      </c>
      <c r="M113">
        <v>14200</v>
      </c>
      <c r="N113" s="12">
        <f>M113*0.00404686</f>
        <v>57.465412000000001</v>
      </c>
      <c r="O113" s="4">
        <f>(N113-F113)/F113</f>
        <v>8.7330406811731293E-2</v>
      </c>
      <c r="P113">
        <v>147</v>
      </c>
      <c r="Q113" s="9">
        <f>P113*0.3048</f>
        <v>44.805600000000005</v>
      </c>
      <c r="R113" s="4">
        <f>(Q113-G113)/G113</f>
        <v>-4.3199999999998795E-3</v>
      </c>
    </row>
    <row r="114" spans="1:18" x14ac:dyDescent="0.3">
      <c r="A114" s="6">
        <v>1125</v>
      </c>
      <c r="B114" t="s">
        <v>163</v>
      </c>
      <c r="C114" t="s">
        <v>164</v>
      </c>
      <c r="D114" t="s">
        <v>136</v>
      </c>
      <c r="E114">
        <v>740.8</v>
      </c>
      <c r="F114">
        <v>22.408999999999999</v>
      </c>
      <c r="G114">
        <v>60</v>
      </c>
      <c r="H114">
        <v>177</v>
      </c>
      <c r="I114">
        <v>0.55896467629082713</v>
      </c>
      <c r="J114">
        <v>600600</v>
      </c>
      <c r="K114" s="9">
        <f>J114*0.00123348</f>
        <v>740.82808799999998</v>
      </c>
      <c r="L114" s="4">
        <f>(K114-E114)/E114</f>
        <v>3.7915766738694934E-5</v>
      </c>
      <c r="M114">
        <v>7200</v>
      </c>
      <c r="N114" s="12">
        <f>M114*0.00404686</f>
        <v>29.137392000000002</v>
      </c>
      <c r="O114" s="4">
        <f>(N114-F114)/F114</f>
        <v>0.30025400508724187</v>
      </c>
      <c r="P114">
        <v>196</v>
      </c>
      <c r="Q114" s="9">
        <f>P114*0.3048</f>
        <v>59.7408</v>
      </c>
      <c r="R114" s="4">
        <f>(Q114-G114)/G114</f>
        <v>-4.3199999999999983E-3</v>
      </c>
    </row>
    <row r="115" spans="1:18" x14ac:dyDescent="0.3">
      <c r="A115" s="6">
        <v>449</v>
      </c>
      <c r="B115" t="s">
        <v>46</v>
      </c>
      <c r="C115" t="s">
        <v>46</v>
      </c>
      <c r="D115" t="s">
        <v>41</v>
      </c>
      <c r="E115">
        <v>91.2</v>
      </c>
      <c r="F115">
        <v>4.7759999999999998</v>
      </c>
      <c r="G115">
        <v>48</v>
      </c>
      <c r="H115">
        <v>1680</v>
      </c>
      <c r="I115">
        <v>0.80457002277449252</v>
      </c>
      <c r="J115">
        <v>73940</v>
      </c>
      <c r="K115" s="9">
        <f>J115*0.00123348</f>
        <v>91.203511199999994</v>
      </c>
      <c r="L115" s="4">
        <f>(K115-E115)/E115</f>
        <v>3.8499999999904347E-5</v>
      </c>
      <c r="M115">
        <v>1455</v>
      </c>
      <c r="N115" s="12">
        <f>M115*0.00404686</f>
        <v>5.8881813000000003</v>
      </c>
      <c r="O115" s="4">
        <f>(N115-F115)/F115</f>
        <v>0.23286878140703529</v>
      </c>
      <c r="P115">
        <v>161</v>
      </c>
      <c r="Q115" s="9">
        <f>P115*0.3048</f>
        <v>49.072800000000001</v>
      </c>
      <c r="R115" s="4">
        <f>(Q115-G115)/G115</f>
        <v>2.2350000000000019E-2</v>
      </c>
    </row>
    <row r="116" spans="1:18" x14ac:dyDescent="0.3">
      <c r="A116" s="6">
        <v>1020</v>
      </c>
      <c r="B116" t="s">
        <v>125</v>
      </c>
      <c r="C116" t="s">
        <v>125</v>
      </c>
      <c r="D116" t="s">
        <v>126</v>
      </c>
      <c r="E116">
        <v>416.9</v>
      </c>
      <c r="F116">
        <v>19.63</v>
      </c>
      <c r="G116">
        <v>22</v>
      </c>
      <c r="H116">
        <v>227</v>
      </c>
      <c r="I116">
        <v>0.92734857716705665</v>
      </c>
      <c r="J116">
        <v>338000</v>
      </c>
      <c r="K116" s="9">
        <f>J116*0.00123348</f>
        <v>416.91623999999996</v>
      </c>
      <c r="L116" s="4">
        <f>(K116-E116)/E116</f>
        <v>3.8954185655989558E-5</v>
      </c>
      <c r="M116">
        <v>4850</v>
      </c>
      <c r="N116" s="12">
        <f>M116*0.00404686</f>
        <v>19.627271</v>
      </c>
      <c r="O116" s="4">
        <f>(N116-F116)/F116</f>
        <v>-1.39021905247002E-4</v>
      </c>
      <c r="P116">
        <v>73</v>
      </c>
      <c r="Q116" s="9">
        <f>P116*0.3048</f>
        <v>22.250400000000003</v>
      </c>
      <c r="R116" s="4">
        <f>(Q116-G116)/G116</f>
        <v>1.13818181818183E-2</v>
      </c>
    </row>
    <row r="117" spans="1:18" x14ac:dyDescent="0.3">
      <c r="A117" s="6">
        <v>595</v>
      </c>
      <c r="B117" t="s">
        <v>282</v>
      </c>
      <c r="C117" t="s">
        <v>283</v>
      </c>
      <c r="D117" t="s">
        <v>13</v>
      </c>
      <c r="E117">
        <v>642</v>
      </c>
      <c r="F117">
        <v>19.8</v>
      </c>
      <c r="G117">
        <v>97</v>
      </c>
      <c r="H117">
        <v>177</v>
      </c>
      <c r="J117">
        <v>520500</v>
      </c>
      <c r="K117" s="9">
        <f>J117*0.00123348</f>
        <v>642.02634</v>
      </c>
      <c r="L117" s="4">
        <f>(K117-E117)/E117</f>
        <v>4.102803738318488E-5</v>
      </c>
      <c r="M117">
        <v>4900</v>
      </c>
      <c r="N117" s="12">
        <f>M117*0.00404686</f>
        <v>19.829613999999999</v>
      </c>
      <c r="O117" s="4">
        <f>(N117-F117)/F117</f>
        <v>1.4956565656564999E-3</v>
      </c>
      <c r="P117">
        <v>319</v>
      </c>
      <c r="Q117" s="9">
        <f>P117*0.3048</f>
        <v>97.231200000000001</v>
      </c>
      <c r="R117" s="4">
        <f>(Q117-G117)/G117</f>
        <v>2.3835051546391875E-3</v>
      </c>
    </row>
    <row r="118" spans="1:18" x14ac:dyDescent="0.3">
      <c r="A118" s="6">
        <v>180</v>
      </c>
      <c r="B118" t="s">
        <v>261</v>
      </c>
      <c r="C118" t="s">
        <v>262</v>
      </c>
      <c r="D118" t="s">
        <v>13</v>
      </c>
      <c r="E118">
        <v>553.79999999999995</v>
      </c>
      <c r="F118">
        <v>10.5</v>
      </c>
      <c r="G118">
        <v>109</v>
      </c>
      <c r="H118">
        <v>142</v>
      </c>
      <c r="J118">
        <v>449000</v>
      </c>
      <c r="K118" s="9">
        <f>J118*0.00123348</f>
        <v>553.83251999999993</v>
      </c>
      <c r="L118" s="4">
        <f>(K118-E118)/E118</f>
        <v>5.8721560129968926E-5</v>
      </c>
      <c r="M118">
        <v>2600</v>
      </c>
      <c r="N118" s="12">
        <f>M118*0.00404686</f>
        <v>10.521836</v>
      </c>
      <c r="O118" s="4">
        <f>(N118-F118)/F118</f>
        <v>2.0796190476190866E-3</v>
      </c>
      <c r="P118">
        <v>356</v>
      </c>
      <c r="Q118" s="9">
        <f>P118*0.3048</f>
        <v>108.50880000000001</v>
      </c>
      <c r="R118" s="4">
        <f>(Q118-G118)/G118</f>
        <v>-4.5064220183485514E-3</v>
      </c>
    </row>
    <row r="119" spans="1:18" x14ac:dyDescent="0.3">
      <c r="A119" s="6">
        <v>1716</v>
      </c>
      <c r="B119" t="s">
        <v>193</v>
      </c>
      <c r="C119" t="s">
        <v>194</v>
      </c>
      <c r="D119" t="s">
        <v>195</v>
      </c>
      <c r="E119">
        <v>749.8</v>
      </c>
      <c r="F119">
        <v>73.078000000000003</v>
      </c>
      <c r="G119">
        <v>16</v>
      </c>
      <c r="H119">
        <v>129</v>
      </c>
      <c r="I119">
        <v>0.67894040844761283</v>
      </c>
      <c r="J119">
        <v>607910</v>
      </c>
      <c r="K119" s="9">
        <f>J119*0.00123348</f>
        <v>749.84482679999996</v>
      </c>
      <c r="L119" s="4">
        <f>(K119-E119)/E119</f>
        <v>5.9785009335835996E-5</v>
      </c>
      <c r="M119">
        <v>18900</v>
      </c>
      <c r="N119" s="12">
        <f>M119*0.00404686</f>
        <v>76.485654000000011</v>
      </c>
      <c r="O119" s="4">
        <f>(N119-F119)/F119</f>
        <v>4.6630367552478284E-2</v>
      </c>
      <c r="P119">
        <v>54</v>
      </c>
      <c r="Q119" s="9">
        <f>P119*0.3048</f>
        <v>16.459199999999999</v>
      </c>
      <c r="R119" s="4">
        <f>(Q119-G119)/G119</f>
        <v>2.8699999999999948E-2</v>
      </c>
    </row>
    <row r="120" spans="1:18" x14ac:dyDescent="0.3">
      <c r="A120" s="6">
        <v>364</v>
      </c>
      <c r="B120" t="s">
        <v>28</v>
      </c>
      <c r="C120" t="s">
        <v>29</v>
      </c>
      <c r="D120" t="s">
        <v>17</v>
      </c>
      <c r="E120">
        <v>648.29999999999995</v>
      </c>
      <c r="F120">
        <v>48.228999999999999</v>
      </c>
      <c r="G120">
        <v>27</v>
      </c>
      <c r="H120">
        <v>1991</v>
      </c>
      <c r="I120">
        <v>0.90466656014205937</v>
      </c>
      <c r="J120">
        <v>525620</v>
      </c>
      <c r="K120" s="9">
        <f>J120*0.00123348</f>
        <v>648.34175759999994</v>
      </c>
      <c r="L120" s="4">
        <f>(K120-E120)/E120</f>
        <v>6.4410920869940823E-5</v>
      </c>
      <c r="M120">
        <v>13000</v>
      </c>
      <c r="N120" s="12">
        <f>M120*0.00404686</f>
        <v>52.609180000000002</v>
      </c>
      <c r="O120" s="4">
        <f>(N120-F120)/F120</f>
        <v>9.0820460718654808E-2</v>
      </c>
      <c r="P120">
        <v>120</v>
      </c>
      <c r="Q120" s="9">
        <f>P120*0.3048</f>
        <v>36.576000000000001</v>
      </c>
      <c r="R120" s="4">
        <f>(Q120-G120)/G120</f>
        <v>0.35466666666666669</v>
      </c>
    </row>
    <row r="121" spans="1:18" x14ac:dyDescent="0.3">
      <c r="A121" s="6">
        <v>1606</v>
      </c>
      <c r="B121" t="s">
        <v>177</v>
      </c>
      <c r="C121" t="s">
        <v>178</v>
      </c>
      <c r="D121" t="s">
        <v>179</v>
      </c>
      <c r="E121">
        <v>61.3</v>
      </c>
      <c r="F121">
        <v>5.5510000000000002</v>
      </c>
      <c r="G121">
        <v>20</v>
      </c>
      <c r="H121">
        <v>291</v>
      </c>
      <c r="I121">
        <v>0.87520442406739174</v>
      </c>
      <c r="J121">
        <v>49700</v>
      </c>
      <c r="K121" s="9">
        <f>J121*0.00123348</f>
        <v>61.303955999999992</v>
      </c>
      <c r="L121" s="4">
        <f>(K121-E121)/E121</f>
        <v>6.4535073409383123E-5</v>
      </c>
      <c r="M121">
        <v>1540</v>
      </c>
      <c r="N121" s="12">
        <f>M121*0.00404686</f>
        <v>6.2321644000000003</v>
      </c>
      <c r="O121" s="4">
        <f>(N121-F121)/F121</f>
        <v>0.12271021437578816</v>
      </c>
      <c r="P121">
        <v>65</v>
      </c>
      <c r="Q121" s="9">
        <f>P121*0.3048</f>
        <v>19.812000000000001</v>
      </c>
      <c r="R121" s="4">
        <f>(Q121-G121)/G121</f>
        <v>-9.3999999999999414E-3</v>
      </c>
    </row>
    <row r="122" spans="1:18" x14ac:dyDescent="0.3">
      <c r="A122" s="6">
        <v>1001</v>
      </c>
      <c r="B122" t="s">
        <v>122</v>
      </c>
      <c r="C122" t="s">
        <v>122</v>
      </c>
      <c r="D122" t="s">
        <v>109</v>
      </c>
      <c r="E122">
        <v>304.5</v>
      </c>
      <c r="F122">
        <v>34</v>
      </c>
      <c r="G122">
        <v>30</v>
      </c>
      <c r="H122">
        <v>418</v>
      </c>
      <c r="I122">
        <v>0.72863097502926499</v>
      </c>
      <c r="J122">
        <v>246882</v>
      </c>
      <c r="K122" s="9">
        <f>J122*0.00123348</f>
        <v>304.52400935999998</v>
      </c>
      <c r="L122" s="4">
        <f>(K122-E122)/E122</f>
        <v>7.8848472906336786E-5</v>
      </c>
      <c r="M122">
        <v>8400</v>
      </c>
      <c r="N122" s="12">
        <f>M122*0.00404686</f>
        <v>33.993624000000004</v>
      </c>
      <c r="O122" s="4">
        <f>(N122-F122)/F122</f>
        <v>-1.8752941176458648E-4</v>
      </c>
      <c r="P122">
        <v>99</v>
      </c>
      <c r="Q122" s="9">
        <f>P122*0.3048</f>
        <v>30.1752</v>
      </c>
      <c r="R122" s="4">
        <f>(Q122-G122)/G122</f>
        <v>5.8400000000000084E-3</v>
      </c>
    </row>
    <row r="123" spans="1:18" x14ac:dyDescent="0.3">
      <c r="A123" s="6">
        <v>391</v>
      </c>
      <c r="B123" t="s">
        <v>279</v>
      </c>
      <c r="C123" t="s">
        <v>280</v>
      </c>
      <c r="D123" t="s">
        <v>278</v>
      </c>
      <c r="E123">
        <v>378.7</v>
      </c>
      <c r="F123">
        <v>11.4</v>
      </c>
      <c r="G123">
        <v>104</v>
      </c>
      <c r="H123">
        <v>938</v>
      </c>
      <c r="J123">
        <v>307043</v>
      </c>
      <c r="K123" s="9">
        <f>J123*0.00123348</f>
        <v>378.73139963999995</v>
      </c>
      <c r="L123" s="4">
        <f>(K123-E123)/E123</f>
        <v>8.2914285714182686E-5</v>
      </c>
      <c r="M123">
        <v>2820</v>
      </c>
      <c r="N123" s="12">
        <f>M123*0.00404686</f>
        <v>11.412145200000001</v>
      </c>
      <c r="O123" s="4">
        <f>(N123-F123)/F123</f>
        <v>1.0653684210527065E-3</v>
      </c>
      <c r="P123">
        <v>340</v>
      </c>
      <c r="Q123" s="9">
        <f>P123*0.3048</f>
        <v>103.63200000000001</v>
      </c>
      <c r="R123" s="4">
        <f>(Q123-G123)/G123</f>
        <v>-3.5384615384614904E-3</v>
      </c>
    </row>
    <row r="124" spans="1:18" x14ac:dyDescent="0.3">
      <c r="A124" s="6">
        <v>1027</v>
      </c>
      <c r="B124" t="s">
        <v>131</v>
      </c>
      <c r="C124" t="s">
        <v>131</v>
      </c>
      <c r="D124" t="s">
        <v>126</v>
      </c>
      <c r="E124">
        <v>124.2</v>
      </c>
      <c r="F124">
        <v>6.58</v>
      </c>
      <c r="G124">
        <v>26</v>
      </c>
      <c r="H124">
        <v>617</v>
      </c>
      <c r="I124">
        <v>-0.2952512536806231</v>
      </c>
      <c r="J124">
        <v>100700</v>
      </c>
      <c r="K124" s="9">
        <f>J124*0.00123348</f>
        <v>124.21143599999999</v>
      </c>
      <c r="L124" s="4">
        <f>(K124-E124)/E124</f>
        <v>9.2077294685902748E-5</v>
      </c>
      <c r="M124">
        <v>1820</v>
      </c>
      <c r="N124" s="12">
        <f>M124*0.00404686</f>
        <v>7.3652852000000006</v>
      </c>
      <c r="O124" s="4">
        <f>(N124-F124)/F124</f>
        <v>0.11934425531914902</v>
      </c>
      <c r="P124">
        <v>82</v>
      </c>
      <c r="Q124" s="9">
        <f>P124*0.3048</f>
        <v>24.993600000000001</v>
      </c>
      <c r="R124" s="4">
        <f>(Q124-G124)/G124</f>
        <v>-3.8707692307692283E-2</v>
      </c>
    </row>
    <row r="125" spans="1:18" x14ac:dyDescent="0.3">
      <c r="A125" s="6">
        <v>1742</v>
      </c>
      <c r="B125" t="s">
        <v>198</v>
      </c>
      <c r="C125" t="s">
        <v>199</v>
      </c>
      <c r="D125" t="s">
        <v>200</v>
      </c>
      <c r="E125">
        <v>179.7</v>
      </c>
      <c r="F125">
        <v>2.7839999999999998</v>
      </c>
      <c r="G125">
        <v>76</v>
      </c>
      <c r="H125">
        <v>432</v>
      </c>
      <c r="I125">
        <v>0.87281118692231252</v>
      </c>
      <c r="J125">
        <v>145700</v>
      </c>
      <c r="K125" s="9">
        <f>J125*0.00123348</f>
        <v>179.71803599999998</v>
      </c>
      <c r="L125" s="4">
        <f>(K125-E125)/E125</f>
        <v>1.0036727879796915E-4</v>
      </c>
      <c r="M125">
        <v>1143</v>
      </c>
      <c r="N125" s="12">
        <f>M125*0.00404686</f>
        <v>4.6255609800000004</v>
      </c>
      <c r="O125" s="4">
        <f>(N125-F125)/F125</f>
        <v>0.66148023706896575</v>
      </c>
      <c r="P125">
        <v>250</v>
      </c>
      <c r="Q125" s="9">
        <f>P125*0.3048</f>
        <v>76.2</v>
      </c>
      <c r="R125" s="4">
        <f>(Q125-G125)/G125</f>
        <v>2.6315789473684583E-3</v>
      </c>
    </row>
    <row r="126" spans="1:18" x14ac:dyDescent="0.3">
      <c r="A126" s="6">
        <v>664</v>
      </c>
      <c r="B126" t="s">
        <v>86</v>
      </c>
      <c r="C126" t="s">
        <v>86</v>
      </c>
      <c r="D126" t="s">
        <v>83</v>
      </c>
      <c r="E126">
        <v>467.7</v>
      </c>
      <c r="F126">
        <v>28.257999999999999</v>
      </c>
      <c r="G126">
        <v>34</v>
      </c>
      <c r="H126">
        <v>1277</v>
      </c>
      <c r="I126">
        <v>0.5421536690273433</v>
      </c>
      <c r="J126">
        <v>379210</v>
      </c>
      <c r="K126" s="9">
        <f>J126*0.00123348</f>
        <v>467.74795079999996</v>
      </c>
      <c r="L126" s="4">
        <f>(K126-E126)/E126</f>
        <v>1.0252469531744041E-4</v>
      </c>
      <c r="M126">
        <v>14530</v>
      </c>
      <c r="N126" s="12">
        <f>M126*0.00404686</f>
        <v>58.8008758</v>
      </c>
      <c r="O126" s="4">
        <f>(N126-F126)/F126</f>
        <v>1.0808576615471726</v>
      </c>
      <c r="P126">
        <v>110</v>
      </c>
      <c r="Q126" s="9">
        <f>P126*0.3048</f>
        <v>33.527999999999999</v>
      </c>
      <c r="R126" s="4">
        <f>(Q126-G126)/G126</f>
        <v>-1.3882352941176509E-2</v>
      </c>
    </row>
    <row r="127" spans="1:18" x14ac:dyDescent="0.3">
      <c r="A127" s="6">
        <v>1084</v>
      </c>
      <c r="B127" t="s">
        <v>147</v>
      </c>
      <c r="C127" t="s">
        <v>148</v>
      </c>
      <c r="D127" t="s">
        <v>136</v>
      </c>
      <c r="E127">
        <v>318.2</v>
      </c>
      <c r="F127">
        <v>11.292</v>
      </c>
      <c r="G127">
        <v>35</v>
      </c>
      <c r="H127">
        <v>138</v>
      </c>
      <c r="I127">
        <v>0.19606324488848961</v>
      </c>
      <c r="J127">
        <v>258000</v>
      </c>
      <c r="K127" s="9">
        <f>J127*0.00123348</f>
        <v>318.23783999999995</v>
      </c>
      <c r="L127" s="4">
        <f>(K127-E127)/E127</f>
        <v>1.1891891891879361E-4</v>
      </c>
      <c r="M127">
        <v>2910</v>
      </c>
      <c r="N127" s="12">
        <f>M127*0.00404686</f>
        <v>11.776362600000001</v>
      </c>
      <c r="O127" s="4">
        <f>(N127-F127)/F127</f>
        <v>4.2894314558979879E-2</v>
      </c>
      <c r="P127">
        <v>115</v>
      </c>
      <c r="Q127" s="9">
        <f>P127*0.3048</f>
        <v>35.052</v>
      </c>
      <c r="R127" s="4">
        <f>(Q127-G127)/G127</f>
        <v>1.4857142857142742E-3</v>
      </c>
    </row>
    <row r="128" spans="1:18" x14ac:dyDescent="0.3">
      <c r="A128" s="6">
        <v>63</v>
      </c>
      <c r="B128" t="s">
        <v>252</v>
      </c>
      <c r="C128" t="s">
        <v>253</v>
      </c>
      <c r="D128" t="s">
        <v>10</v>
      </c>
      <c r="E128">
        <v>244.2</v>
      </c>
      <c r="F128">
        <v>10.199999999999999</v>
      </c>
      <c r="G128">
        <v>97</v>
      </c>
      <c r="H128">
        <v>889</v>
      </c>
      <c r="J128">
        <v>198000</v>
      </c>
      <c r="K128" s="9">
        <f>J128*0.00123348</f>
        <v>244.22903999999997</v>
      </c>
      <c r="L128" s="4">
        <f>(K128-E128)/E128</f>
        <v>1.1891891891883964E-4</v>
      </c>
      <c r="M128">
        <v>2525</v>
      </c>
      <c r="N128" s="12">
        <f>M128*0.00404686</f>
        <v>10.2183215</v>
      </c>
      <c r="O128" s="4">
        <f>(N128-F128)/F128</f>
        <v>1.7962254901961539E-3</v>
      </c>
      <c r="P128">
        <v>319</v>
      </c>
      <c r="Q128" s="9">
        <f>P128*0.3048</f>
        <v>97.231200000000001</v>
      </c>
      <c r="R128" s="4">
        <f>(Q128-G128)/G128</f>
        <v>2.3835051546391875E-3</v>
      </c>
    </row>
    <row r="129" spans="1:18" x14ac:dyDescent="0.3">
      <c r="A129" s="6">
        <v>1776</v>
      </c>
      <c r="B129" t="s">
        <v>217</v>
      </c>
      <c r="C129" t="s">
        <v>218</v>
      </c>
      <c r="D129" t="s">
        <v>219</v>
      </c>
      <c r="E129">
        <v>377.4</v>
      </c>
      <c r="F129">
        <v>5.1589999999999998</v>
      </c>
      <c r="G129">
        <v>45</v>
      </c>
      <c r="H129">
        <v>320</v>
      </c>
      <c r="I129">
        <v>0.77971043353053116</v>
      </c>
      <c r="J129">
        <v>306000</v>
      </c>
      <c r="K129" s="9">
        <f>J129*0.00123348</f>
        <v>377.44487999999996</v>
      </c>
      <c r="L129" s="4">
        <f>(K129-E129)/E129</f>
        <v>1.1891891891886017E-4</v>
      </c>
      <c r="M129">
        <v>1475</v>
      </c>
      <c r="N129" s="12">
        <f>M129*0.00404686</f>
        <v>5.9691185000000004</v>
      </c>
      <c r="O129" s="4">
        <f>(N129-F129)/F129</f>
        <v>0.15703014150029088</v>
      </c>
      <c r="P129">
        <v>148</v>
      </c>
      <c r="Q129" s="9">
        <f>P129*0.3048</f>
        <v>45.110400000000006</v>
      </c>
      <c r="R129" s="4">
        <f>(Q129-G129)/G129</f>
        <v>2.4533333333334579E-3</v>
      </c>
    </row>
    <row r="130" spans="1:18" x14ac:dyDescent="0.3">
      <c r="A130" s="6">
        <v>1619</v>
      </c>
      <c r="B130" t="s">
        <v>182</v>
      </c>
      <c r="C130" t="s">
        <v>183</v>
      </c>
      <c r="D130" t="s">
        <v>179</v>
      </c>
      <c r="E130">
        <v>66.599999999999994</v>
      </c>
      <c r="F130">
        <v>6.0970000000000004</v>
      </c>
      <c r="G130">
        <v>20</v>
      </c>
      <c r="H130">
        <v>273</v>
      </c>
      <c r="I130">
        <v>0.86896741192250049</v>
      </c>
      <c r="J130">
        <v>54000</v>
      </c>
      <c r="K130" s="9">
        <f>J130*0.00123348</f>
        <v>66.607919999999993</v>
      </c>
      <c r="L130" s="4">
        <f>(K130-E130)/E130</f>
        <v>1.1891891891889783E-4</v>
      </c>
      <c r="M130">
        <v>1800</v>
      </c>
      <c r="N130" s="12">
        <f>M130*0.00404686</f>
        <v>7.2843480000000005</v>
      </c>
      <c r="O130" s="4">
        <f>(N130-F130)/F130</f>
        <v>0.19474298835492865</v>
      </c>
      <c r="P130">
        <v>64</v>
      </c>
      <c r="Q130" s="9">
        <f>P130*0.3048</f>
        <v>19.507200000000001</v>
      </c>
      <c r="R130" s="4">
        <f>(Q130-G130)/G130</f>
        <v>-2.463999999999995E-2</v>
      </c>
    </row>
    <row r="131" spans="1:18" x14ac:dyDescent="0.3">
      <c r="A131" s="6">
        <v>868</v>
      </c>
      <c r="B131" t="s">
        <v>94</v>
      </c>
      <c r="C131" t="s">
        <v>94</v>
      </c>
      <c r="D131" t="s">
        <v>95</v>
      </c>
      <c r="E131">
        <v>303.39999999999998</v>
      </c>
      <c r="F131">
        <v>28.952999999999999</v>
      </c>
      <c r="G131">
        <v>37</v>
      </c>
      <c r="H131">
        <v>911</v>
      </c>
      <c r="I131">
        <v>0.41546892422373649</v>
      </c>
      <c r="J131">
        <v>246000</v>
      </c>
      <c r="K131" s="9">
        <f>J131*0.00123348</f>
        <v>303.43608</v>
      </c>
      <c r="L131" s="4">
        <f>(K131-E131)/E131</f>
        <v>1.1891891891900712E-4</v>
      </c>
      <c r="M131">
        <v>9861</v>
      </c>
      <c r="N131" s="12">
        <f>M131*0.00404686</f>
        <v>39.906086460000004</v>
      </c>
      <c r="O131" s="4">
        <f>(N131-F131)/F131</f>
        <v>0.37830575277173367</v>
      </c>
      <c r="P131">
        <v>122</v>
      </c>
      <c r="Q131" s="9">
        <f>P131*0.3048</f>
        <v>37.185600000000001</v>
      </c>
      <c r="R131" s="4">
        <f>(Q131-G131)/G131</f>
        <v>5.0162162162162398E-3</v>
      </c>
    </row>
    <row r="132" spans="1:18" x14ac:dyDescent="0.3">
      <c r="A132" s="6">
        <v>456</v>
      </c>
      <c r="B132" t="s">
        <v>49</v>
      </c>
      <c r="C132" t="s">
        <v>50</v>
      </c>
      <c r="D132" t="s">
        <v>41</v>
      </c>
      <c r="E132">
        <v>93.4</v>
      </c>
      <c r="F132">
        <v>3.54</v>
      </c>
      <c r="G132">
        <v>53</v>
      </c>
      <c r="H132">
        <v>1836</v>
      </c>
      <c r="I132">
        <v>0.99376036711554361</v>
      </c>
      <c r="J132">
        <v>75730</v>
      </c>
      <c r="K132" s="9">
        <f>J132*0.00123348</f>
        <v>93.411440399999989</v>
      </c>
      <c r="L132" s="4">
        <f>(K132-E132)/E132</f>
        <v>1.2248822269789826E-4</v>
      </c>
      <c r="M132">
        <v>1077</v>
      </c>
      <c r="N132" s="12">
        <f>M132*0.00404686</f>
        <v>4.3584682200000007</v>
      </c>
      <c r="O132" s="4">
        <f>(N132-F132)/F132</f>
        <v>0.23120571186440694</v>
      </c>
      <c r="P132">
        <v>175</v>
      </c>
      <c r="Q132" s="9">
        <f>P132*0.3048</f>
        <v>53.34</v>
      </c>
      <c r="R132" s="4">
        <f>(Q132-G132)/G132</f>
        <v>6.4150943396227055E-3</v>
      </c>
    </row>
    <row r="133" spans="1:18" x14ac:dyDescent="0.3">
      <c r="A133" s="6">
        <v>1585</v>
      </c>
      <c r="B133" t="s">
        <v>174</v>
      </c>
      <c r="C133" t="s">
        <v>175</v>
      </c>
      <c r="D133" t="s">
        <v>176</v>
      </c>
      <c r="E133">
        <v>127.8</v>
      </c>
      <c r="F133">
        <v>3.4319999999999999</v>
      </c>
      <c r="G133">
        <v>52</v>
      </c>
      <c r="H133">
        <v>205</v>
      </c>
      <c r="I133">
        <v>0.92976847219492509</v>
      </c>
      <c r="J133">
        <v>103625</v>
      </c>
      <c r="K133" s="9">
        <f>J133*0.00123348</f>
        <v>127.81936499999999</v>
      </c>
      <c r="L133" s="4">
        <f>(K133-E133)/E133</f>
        <v>1.5152582159619262E-4</v>
      </c>
      <c r="M133">
        <v>947</v>
      </c>
      <c r="N133" s="12">
        <f>M133*0.00404686</f>
        <v>3.8323764200000001</v>
      </c>
      <c r="O133" s="4">
        <f>(N133-F133)/F133</f>
        <v>0.11665979603729609</v>
      </c>
      <c r="P133">
        <v>177</v>
      </c>
      <c r="Q133" s="9">
        <f>P133*0.3048</f>
        <v>53.949600000000004</v>
      </c>
      <c r="R133" s="4">
        <f>(Q133-G133)/G133</f>
        <v>3.7492307692307762E-2</v>
      </c>
    </row>
    <row r="134" spans="1:18" x14ac:dyDescent="0.3">
      <c r="A134" s="6">
        <v>1124</v>
      </c>
      <c r="B134" t="s">
        <v>161</v>
      </c>
      <c r="C134" t="s">
        <v>162</v>
      </c>
      <c r="D134" t="s">
        <v>136</v>
      </c>
      <c r="E134">
        <v>196.7</v>
      </c>
      <c r="F134">
        <v>4.9359999999999999</v>
      </c>
      <c r="G134">
        <v>47</v>
      </c>
      <c r="H134">
        <v>170</v>
      </c>
      <c r="I134">
        <v>0.54986881902071905</v>
      </c>
      <c r="J134">
        <v>159500</v>
      </c>
      <c r="K134" s="9">
        <f>J134*0.00123348</f>
        <v>196.74005999999997</v>
      </c>
      <c r="L134" s="4">
        <f>(K134-E134)/E134</f>
        <v>2.0366039654287071E-4</v>
      </c>
      <c r="M134">
        <v>1360</v>
      </c>
      <c r="N134" s="12">
        <f>M134*0.00404686</f>
        <v>5.5037296000000007</v>
      </c>
      <c r="O134" s="4">
        <f>(N134-F134)/F134</f>
        <v>0.11501815235008118</v>
      </c>
      <c r="P134">
        <v>153</v>
      </c>
      <c r="Q134" s="9">
        <f>P134*0.3048</f>
        <v>46.634399999999999</v>
      </c>
      <c r="R134" s="4">
        <f>(Q134-G134)/G134</f>
        <v>-7.7787234042553319E-3</v>
      </c>
    </row>
    <row r="135" spans="1:18" x14ac:dyDescent="0.3">
      <c r="A135" s="6">
        <v>488</v>
      </c>
      <c r="C135" t="s">
        <v>58</v>
      </c>
      <c r="D135" t="s">
        <v>41</v>
      </c>
      <c r="E135">
        <v>230.6</v>
      </c>
      <c r="F135">
        <v>11.273999999999999</v>
      </c>
      <c r="G135">
        <v>61</v>
      </c>
      <c r="H135">
        <v>1745</v>
      </c>
      <c r="I135">
        <v>0.75605313151828346</v>
      </c>
      <c r="J135">
        <v>186990</v>
      </c>
      <c r="K135" s="9">
        <f>J135*0.00123348</f>
        <v>230.64842519999999</v>
      </c>
      <c r="L135" s="4">
        <f>(K135-E135)/E135</f>
        <v>2.0999653078923223E-4</v>
      </c>
      <c r="M135">
        <v>3310</v>
      </c>
      <c r="N135" s="12">
        <f>M135*0.00404686</f>
        <v>13.3951066</v>
      </c>
      <c r="O135" s="4">
        <f>(N135-F135)/F135</f>
        <v>0.18814144048252626</v>
      </c>
      <c r="P135">
        <v>210</v>
      </c>
      <c r="Q135" s="9">
        <f>P135*0.3048</f>
        <v>64.00800000000001</v>
      </c>
      <c r="R135" s="4">
        <f>(Q135-G135)/G135</f>
        <v>4.9311475409836228E-2</v>
      </c>
    </row>
    <row r="136" spans="1:18" x14ac:dyDescent="0.3">
      <c r="A136" s="6">
        <v>1028</v>
      </c>
      <c r="B136" t="s">
        <v>132</v>
      </c>
      <c r="C136" t="s">
        <v>132</v>
      </c>
      <c r="D136" t="s">
        <v>126</v>
      </c>
      <c r="E136">
        <v>137</v>
      </c>
      <c r="F136">
        <v>3.6560000000000001</v>
      </c>
      <c r="G136">
        <v>30</v>
      </c>
      <c r="H136">
        <v>234</v>
      </c>
      <c r="I136">
        <v>0.8528798939317711</v>
      </c>
      <c r="J136">
        <v>111100</v>
      </c>
      <c r="K136" s="9">
        <f>J136*0.00123348</f>
        <v>137.03962799999999</v>
      </c>
      <c r="L136" s="4">
        <f>(K136-E136)/E136</f>
        <v>2.8925547445250607E-4</v>
      </c>
      <c r="M136">
        <v>1145</v>
      </c>
      <c r="N136" s="12">
        <f>M136*0.00404686</f>
        <v>4.6336547000000001</v>
      </c>
      <c r="O136" s="4">
        <f>(N136-F136)/F136</f>
        <v>0.26741102297592995</v>
      </c>
      <c r="P136">
        <v>97</v>
      </c>
      <c r="Q136" s="9">
        <f>P136*0.3048</f>
        <v>29.5656</v>
      </c>
      <c r="R136" s="4">
        <f>(Q136-G136)/G136</f>
        <v>-1.4480000000000003E-2</v>
      </c>
    </row>
    <row r="137" spans="1:18" x14ac:dyDescent="0.3">
      <c r="A137" s="6">
        <v>574</v>
      </c>
      <c r="B137" t="s">
        <v>77</v>
      </c>
      <c r="C137" t="s">
        <v>77</v>
      </c>
      <c r="D137" t="s">
        <v>60</v>
      </c>
      <c r="E137">
        <v>49.5</v>
      </c>
      <c r="F137">
        <v>2.2629999999999999</v>
      </c>
      <c r="G137">
        <v>87</v>
      </c>
      <c r="H137">
        <v>2489</v>
      </c>
      <c r="I137">
        <v>0.41238089965221558</v>
      </c>
      <c r="J137">
        <v>40146</v>
      </c>
      <c r="K137" s="9">
        <f>J137*0.00123348</f>
        <v>49.519288079999995</v>
      </c>
      <c r="L137" s="4">
        <f>(K137-E137)/E137</f>
        <v>3.8965818181809067E-4</v>
      </c>
      <c r="M137">
        <v>686</v>
      </c>
      <c r="N137" s="12">
        <f>M137*0.00404686</f>
        <v>2.77614596</v>
      </c>
      <c r="O137" s="4">
        <f>(N137-F137)/F137</f>
        <v>0.22675473265576673</v>
      </c>
      <c r="P137">
        <v>284</v>
      </c>
      <c r="Q137" s="9">
        <f>P137*0.3048</f>
        <v>86.563200000000009</v>
      </c>
      <c r="R137" s="4">
        <f>(Q137-G137)/G137</f>
        <v>-5.0206896551723097E-3</v>
      </c>
    </row>
    <row r="138" spans="1:18" x14ac:dyDescent="0.3">
      <c r="A138" s="6">
        <v>530</v>
      </c>
      <c r="C138" t="s">
        <v>281</v>
      </c>
      <c r="D138" t="s">
        <v>60</v>
      </c>
      <c r="E138">
        <v>102.7</v>
      </c>
      <c r="F138">
        <v>9.9</v>
      </c>
      <c r="G138">
        <v>30</v>
      </c>
      <c r="H138">
        <v>2648</v>
      </c>
      <c r="J138">
        <v>83300</v>
      </c>
      <c r="K138" s="9">
        <f>J138*0.00123348</f>
        <v>102.74888399999999</v>
      </c>
      <c r="L138" s="4">
        <f>(K138-E138)/E138</f>
        <v>4.7598831548185808E-4</v>
      </c>
      <c r="M138">
        <v>2450</v>
      </c>
      <c r="N138" s="12">
        <f>M138*0.00404686</f>
        <v>9.9148069999999997</v>
      </c>
      <c r="O138" s="4">
        <f>(N138-F138)/F138</f>
        <v>1.4956565656564999E-3</v>
      </c>
      <c r="P138">
        <v>100</v>
      </c>
      <c r="Q138" s="9">
        <f>P138*0.3048</f>
        <v>30.48</v>
      </c>
      <c r="R138" s="4">
        <f>(Q138-G138)/G138</f>
        <v>1.6000000000000014E-2</v>
      </c>
    </row>
    <row r="139" spans="1:18" x14ac:dyDescent="0.3">
      <c r="A139" s="6">
        <v>1713</v>
      </c>
      <c r="B139" t="s">
        <v>190</v>
      </c>
      <c r="C139" t="s">
        <v>191</v>
      </c>
      <c r="D139" t="s">
        <v>192</v>
      </c>
      <c r="E139">
        <v>102.7</v>
      </c>
      <c r="F139">
        <v>6.9859999999999998</v>
      </c>
      <c r="G139">
        <v>33</v>
      </c>
      <c r="H139">
        <v>208</v>
      </c>
      <c r="I139">
        <v>0.43653011206217601</v>
      </c>
      <c r="J139">
        <v>83300</v>
      </c>
      <c r="K139" s="9">
        <f>J139*0.00123348</f>
        <v>102.74888399999999</v>
      </c>
      <c r="L139" s="4">
        <f>(K139-E139)/E139</f>
        <v>4.7598831548185808E-4</v>
      </c>
      <c r="M139">
        <v>2242</v>
      </c>
      <c r="N139" s="12">
        <f>M139*0.00404686</f>
        <v>9.0730601200000009</v>
      </c>
      <c r="O139" s="4">
        <f>(N139-F139)/F139</f>
        <v>0.29874894360148885</v>
      </c>
      <c r="P139">
        <v>156</v>
      </c>
      <c r="Q139" s="9">
        <f>P139*0.3048</f>
        <v>47.5488</v>
      </c>
      <c r="R139" s="4">
        <f>(Q139-G139)/G139</f>
        <v>0.44087272727272725</v>
      </c>
    </row>
    <row r="140" spans="1:18" x14ac:dyDescent="0.3">
      <c r="A140" s="6">
        <v>306</v>
      </c>
      <c r="C140" t="s">
        <v>21</v>
      </c>
      <c r="D140" t="s">
        <v>17</v>
      </c>
      <c r="E140">
        <v>41.9</v>
      </c>
      <c r="F140">
        <v>0.91400000000000003</v>
      </c>
      <c r="G140">
        <v>62</v>
      </c>
      <c r="H140">
        <v>1490</v>
      </c>
      <c r="I140">
        <v>0.79320314241288647</v>
      </c>
      <c r="J140">
        <v>34000</v>
      </c>
      <c r="K140" s="9">
        <f>J140*0.00123348</f>
        <v>41.938319999999997</v>
      </c>
      <c r="L140" s="4">
        <f>(K140-E140)/E140</f>
        <v>9.1455847255367067E-4</v>
      </c>
      <c r="N140" s="12">
        <f>M140*0.00404686</f>
        <v>0</v>
      </c>
      <c r="O140" s="4">
        <f>(N140-F140)/F140</f>
        <v>-1</v>
      </c>
      <c r="P140">
        <v>205</v>
      </c>
      <c r="Q140" s="9">
        <f>P140*0.3048</f>
        <v>62.484000000000002</v>
      </c>
      <c r="R140" s="4">
        <f>(Q140-G140)/G140</f>
        <v>7.806451612903254E-3</v>
      </c>
    </row>
    <row r="141" spans="1:18" x14ac:dyDescent="0.3">
      <c r="A141" s="6">
        <v>471</v>
      </c>
      <c r="B141" t="s">
        <v>55</v>
      </c>
      <c r="C141" t="s">
        <v>55</v>
      </c>
      <c r="D141" t="s">
        <v>41</v>
      </c>
      <c r="E141">
        <v>61</v>
      </c>
      <c r="F141">
        <v>3.07</v>
      </c>
      <c r="G141">
        <v>31</v>
      </c>
      <c r="H141">
        <v>2483</v>
      </c>
      <c r="I141">
        <v>0.86649130338338742</v>
      </c>
      <c r="J141">
        <v>49500</v>
      </c>
      <c r="K141" s="9">
        <f>J141*0.00123348</f>
        <v>61.057259999999992</v>
      </c>
      <c r="L141" s="4">
        <f>(K141-E141)/E141</f>
        <v>9.3868852459003799E-4</v>
      </c>
      <c r="M141">
        <v>773</v>
      </c>
      <c r="N141" s="12">
        <f>M141*0.00404686</f>
        <v>3.1282227800000002</v>
      </c>
      <c r="O141" s="4">
        <f>(N141-F141)/F141</f>
        <v>1.8965074918566895E-2</v>
      </c>
      <c r="P141">
        <v>101</v>
      </c>
      <c r="Q141" s="9">
        <f>P141*0.3048</f>
        <v>30.784800000000001</v>
      </c>
      <c r="R141" s="4">
        <f>(Q141-G141)/G141</f>
        <v>-6.9419354838709483E-3</v>
      </c>
    </row>
    <row r="142" spans="1:18" x14ac:dyDescent="0.3">
      <c r="A142" s="6">
        <v>182</v>
      </c>
      <c r="B142" t="s">
        <v>14</v>
      </c>
      <c r="C142" t="s">
        <v>15</v>
      </c>
      <c r="D142" t="s">
        <v>13</v>
      </c>
      <c r="E142">
        <v>1203.9000000000001</v>
      </c>
      <c r="F142">
        <v>33.701999999999998</v>
      </c>
      <c r="G142">
        <v>104</v>
      </c>
      <c r="H142">
        <v>146</v>
      </c>
      <c r="I142">
        <v>0.55886423840139654</v>
      </c>
      <c r="J142">
        <v>976955</v>
      </c>
      <c r="K142" s="9">
        <f>J142*0.00123348</f>
        <v>1205.0544533999998</v>
      </c>
      <c r="L142" s="4">
        <f>(K142-E142)/E142</f>
        <v>9.5892798405161422E-4</v>
      </c>
      <c r="M142">
        <v>11180</v>
      </c>
      <c r="N142" s="12">
        <f>M142*0.00404686</f>
        <v>45.2438948</v>
      </c>
      <c r="O142" s="4">
        <f>(N142-F142)/F142</f>
        <v>0.34246913536288653</v>
      </c>
      <c r="P142">
        <v>340</v>
      </c>
      <c r="Q142" s="9">
        <f>P142*0.3048</f>
        <v>103.63200000000001</v>
      </c>
      <c r="R142" s="4">
        <f>(Q142-G142)/G142</f>
        <v>-3.5384615384614904E-3</v>
      </c>
    </row>
    <row r="143" spans="1:18" x14ac:dyDescent="0.3">
      <c r="A143" s="6">
        <v>969</v>
      </c>
      <c r="B143" t="s">
        <v>112</v>
      </c>
      <c r="C143" t="s">
        <v>113</v>
      </c>
      <c r="D143" t="s">
        <v>114</v>
      </c>
      <c r="E143">
        <v>33.200000000000003</v>
      </c>
      <c r="F143">
        <v>2.92</v>
      </c>
      <c r="G143">
        <v>21</v>
      </c>
      <c r="H143">
        <v>251</v>
      </c>
      <c r="I143">
        <v>0.68886574706530301</v>
      </c>
      <c r="J143">
        <v>26950</v>
      </c>
      <c r="K143" s="9">
        <f>J143*0.00123348</f>
        <v>33.242286</v>
      </c>
      <c r="L143" s="4">
        <f>(K143-E143)/E143</f>
        <v>1.273674698795095E-3</v>
      </c>
      <c r="M143">
        <v>722</v>
      </c>
      <c r="N143" s="12">
        <f>M143*0.00404686</f>
        <v>2.9218329199999999</v>
      </c>
      <c r="O143" s="4">
        <f>(N143-F143)/F143</f>
        <v>6.2771232876712864E-4</v>
      </c>
      <c r="P143">
        <v>70</v>
      </c>
      <c r="Q143" s="9">
        <f>P143*0.3048</f>
        <v>21.336000000000002</v>
      </c>
      <c r="R143" s="4">
        <f>(Q143-G143)/G143</f>
        <v>1.6000000000000097E-2</v>
      </c>
    </row>
    <row r="144" spans="1:18" x14ac:dyDescent="0.3">
      <c r="A144" s="6">
        <v>431</v>
      </c>
      <c r="B144" t="s">
        <v>40</v>
      </c>
      <c r="C144" t="s">
        <v>40</v>
      </c>
      <c r="D144" t="s">
        <v>41</v>
      </c>
      <c r="E144">
        <v>23</v>
      </c>
      <c r="F144">
        <v>1.55</v>
      </c>
      <c r="G144">
        <v>35</v>
      </c>
      <c r="H144">
        <v>1420</v>
      </c>
      <c r="I144">
        <v>0.54915612633209565</v>
      </c>
      <c r="J144">
        <v>18685</v>
      </c>
      <c r="K144" s="9">
        <f>J144*0.00123348</f>
        <v>23.047573799999999</v>
      </c>
      <c r="L144" s="4">
        <f>(K144-E144)/E144</f>
        <v>2.0684260869564589E-3</v>
      </c>
      <c r="M144">
        <v>480</v>
      </c>
      <c r="N144" s="12">
        <f>M144*0.00404686</f>
        <v>1.9424928000000001</v>
      </c>
      <c r="O144" s="4">
        <f>(N144-F144)/F144</f>
        <v>0.25322116129032263</v>
      </c>
      <c r="P144">
        <v>116</v>
      </c>
      <c r="Q144" s="9">
        <f>P144*0.3048</f>
        <v>35.3568</v>
      </c>
      <c r="R144" s="4">
        <f>(Q144-G144)/G144</f>
        <v>1.0194285714285708E-2</v>
      </c>
    </row>
    <row r="145" spans="1:18" x14ac:dyDescent="0.3">
      <c r="A145" s="6">
        <v>362</v>
      </c>
      <c r="B145" t="s">
        <v>27</v>
      </c>
      <c r="C145" t="s">
        <v>27</v>
      </c>
      <c r="D145" t="s">
        <v>17</v>
      </c>
      <c r="E145">
        <v>401.3</v>
      </c>
      <c r="F145">
        <v>18.071000000000002</v>
      </c>
      <c r="G145">
        <v>45</v>
      </c>
      <c r="H145">
        <v>1700</v>
      </c>
      <c r="I145">
        <v>0.7159634152487504</v>
      </c>
      <c r="J145">
        <v>328979</v>
      </c>
      <c r="K145" s="9">
        <f>J145*0.00123348</f>
        <v>405.78901691999999</v>
      </c>
      <c r="L145" s="4">
        <f>(K145-E145)/E145</f>
        <v>1.1186187191627169E-2</v>
      </c>
      <c r="M145">
        <v>6606</v>
      </c>
      <c r="N145" s="12">
        <f>M145*0.00404686</f>
        <v>26.73355716</v>
      </c>
      <c r="O145" s="4">
        <f>(N145-F145)/F145</f>
        <v>0.4793623573681588</v>
      </c>
      <c r="P145">
        <v>148</v>
      </c>
      <c r="Q145" s="9">
        <f>P145*0.3048</f>
        <v>45.110400000000006</v>
      </c>
      <c r="R145" s="4">
        <f>(Q145-G145)/G145</f>
        <v>2.4533333333334579E-3</v>
      </c>
    </row>
    <row r="146" spans="1:18" x14ac:dyDescent="0.3">
      <c r="A146" s="6">
        <v>502</v>
      </c>
      <c r="B146" t="s">
        <v>62</v>
      </c>
      <c r="C146" t="s">
        <v>62</v>
      </c>
      <c r="D146" t="s">
        <v>60</v>
      </c>
      <c r="E146">
        <v>190.7</v>
      </c>
      <c r="F146">
        <v>6.6520000000000001</v>
      </c>
      <c r="G146">
        <v>94</v>
      </c>
      <c r="H146">
        <v>2426</v>
      </c>
      <c r="I146">
        <v>0.60987240695043166</v>
      </c>
      <c r="J146">
        <v>161850</v>
      </c>
      <c r="K146" s="9">
        <f>J146*0.00123348</f>
        <v>199.63873799999999</v>
      </c>
      <c r="L146" s="4">
        <f>(K146-E146)/E146</f>
        <v>4.6873298374410073E-2</v>
      </c>
      <c r="M146">
        <v>2125</v>
      </c>
      <c r="N146" s="12">
        <f>M146*0.00404686</f>
        <v>8.5995775000000005</v>
      </c>
      <c r="O146" s="4">
        <f>(N146-F146)/F146</f>
        <v>0.29278074263379439</v>
      </c>
      <c r="P146">
        <v>309</v>
      </c>
      <c r="Q146" s="9">
        <f>P146*0.3048</f>
        <v>94.183199999999999</v>
      </c>
      <c r="R146" s="4">
        <f>(Q146-G146)/G146</f>
        <v>1.9489361702127591E-3</v>
      </c>
    </row>
    <row r="147" spans="1:18" x14ac:dyDescent="0.3">
      <c r="A147" s="6">
        <v>536</v>
      </c>
      <c r="B147" t="s">
        <v>74</v>
      </c>
      <c r="C147" t="s">
        <v>74</v>
      </c>
      <c r="D147" t="s">
        <v>60</v>
      </c>
      <c r="E147">
        <v>131</v>
      </c>
      <c r="F147">
        <v>5.8609999999999998</v>
      </c>
      <c r="G147">
        <v>63</v>
      </c>
      <c r="H147">
        <v>2848</v>
      </c>
      <c r="I147">
        <v>0.65108324630475045</v>
      </c>
      <c r="J147">
        <v>111280</v>
      </c>
      <c r="K147" s="9">
        <f>J147*0.00123348</f>
        <v>137.2616544</v>
      </c>
      <c r="L147" s="4">
        <f>(K147-E147)/E147</f>
        <v>4.77988885496183E-2</v>
      </c>
      <c r="M147">
        <v>2159</v>
      </c>
      <c r="N147" s="12">
        <f>M147*0.00404686</f>
        <v>8.7371707399999998</v>
      </c>
      <c r="O147" s="4">
        <f>(N147-F147)/F147</f>
        <v>0.4907303770687596</v>
      </c>
      <c r="P147">
        <v>206</v>
      </c>
      <c r="Q147" s="9">
        <f>P147*0.3048</f>
        <v>62.788800000000002</v>
      </c>
      <c r="R147" s="4">
        <f>(Q147-G147)/G147</f>
        <v>-3.3523809523809214E-3</v>
      </c>
    </row>
    <row r="148" spans="1:18" x14ac:dyDescent="0.3">
      <c r="A148" s="6">
        <v>477</v>
      </c>
      <c r="B148" t="s">
        <v>57</v>
      </c>
      <c r="C148" t="s">
        <v>57</v>
      </c>
      <c r="D148" t="s">
        <v>41</v>
      </c>
      <c r="E148">
        <v>188.2</v>
      </c>
      <c r="F148">
        <v>9.5869999999999997</v>
      </c>
      <c r="G148">
        <v>72</v>
      </c>
      <c r="H148">
        <v>1654</v>
      </c>
      <c r="I148">
        <v>0.61717748283828833</v>
      </c>
      <c r="J148">
        <v>161070</v>
      </c>
      <c r="K148" s="9">
        <f>J148*0.00123348</f>
        <v>198.67662359999997</v>
      </c>
      <c r="L148" s="4">
        <f>(K148-E148)/E148</f>
        <v>5.5667500531349536E-2</v>
      </c>
      <c r="M148">
        <v>2683</v>
      </c>
      <c r="N148" s="12">
        <f>M148*0.00404686</f>
        <v>10.85772538</v>
      </c>
      <c r="O148" s="4">
        <f>(N148-F148)/F148</f>
        <v>0.13254671742985294</v>
      </c>
      <c r="P148">
        <v>240</v>
      </c>
      <c r="Q148" s="9">
        <f>P148*0.3048</f>
        <v>73.152000000000001</v>
      </c>
      <c r="R148" s="4">
        <f>(Q148-G148)/G148</f>
        <v>1.6000000000000014E-2</v>
      </c>
    </row>
    <row r="149" spans="1:18" x14ac:dyDescent="0.3">
      <c r="A149" s="6">
        <v>473</v>
      </c>
      <c r="B149" t="s">
        <v>56</v>
      </c>
      <c r="C149" t="s">
        <v>56</v>
      </c>
      <c r="D149" t="s">
        <v>41</v>
      </c>
      <c r="E149">
        <v>47.1</v>
      </c>
      <c r="F149">
        <v>2.649</v>
      </c>
      <c r="G149">
        <v>49</v>
      </c>
      <c r="H149">
        <v>1685</v>
      </c>
      <c r="I149">
        <v>0.53567166614999695</v>
      </c>
      <c r="J149">
        <v>40358</v>
      </c>
      <c r="K149" s="9">
        <f>J149*0.00123348</f>
        <v>49.780785839999993</v>
      </c>
      <c r="L149" s="4">
        <f>(K149-E149)/E149</f>
        <v>5.6916896815286444E-2</v>
      </c>
      <c r="M149">
        <v>850</v>
      </c>
      <c r="N149" s="12">
        <f>M149*0.00404686</f>
        <v>3.4398310000000003</v>
      </c>
      <c r="O149" s="4">
        <f>(N149-F149)/F149</f>
        <v>0.29853944884862221</v>
      </c>
      <c r="P149">
        <v>162</v>
      </c>
      <c r="Q149" s="9">
        <f>P149*0.3048</f>
        <v>49.377600000000001</v>
      </c>
      <c r="R149" s="4">
        <f>(Q149-G149)/G149</f>
        <v>7.7061224489796132E-3</v>
      </c>
    </row>
    <row r="150" spans="1:18" x14ac:dyDescent="0.3">
      <c r="A150" s="6">
        <v>451</v>
      </c>
      <c r="B150" t="s">
        <v>48</v>
      </c>
      <c r="C150" t="s">
        <v>48</v>
      </c>
      <c r="D150" t="s">
        <v>41</v>
      </c>
      <c r="E150">
        <v>4673.5</v>
      </c>
      <c r="F150">
        <v>126.703</v>
      </c>
      <c r="G150">
        <v>153</v>
      </c>
      <c r="H150">
        <v>1836</v>
      </c>
      <c r="I150">
        <v>0.22127488694285891</v>
      </c>
      <c r="J150">
        <v>4005200</v>
      </c>
      <c r="K150" s="9">
        <f>J150*0.00123348</f>
        <v>4940.3340959999996</v>
      </c>
      <c r="L150" s="4">
        <f>(K150-E150)/E150</f>
        <v>5.7095131272065815E-2</v>
      </c>
      <c r="M150">
        <v>42040</v>
      </c>
      <c r="N150" s="12">
        <f>M150*0.00404686</f>
        <v>170.12999440000002</v>
      </c>
      <c r="O150" s="4">
        <f>(N150-F150)/F150</f>
        <v>0.34274637853878764</v>
      </c>
      <c r="P150">
        <v>502</v>
      </c>
      <c r="Q150" s="9">
        <f>P150*0.3048</f>
        <v>153.00960000000001</v>
      </c>
      <c r="R150" s="4">
        <f>(Q150-G150)/G150</f>
        <v>6.2745098039255218E-5</v>
      </c>
    </row>
    <row r="151" spans="1:18" x14ac:dyDescent="0.3">
      <c r="A151" s="6">
        <v>450</v>
      </c>
      <c r="B151" t="s">
        <v>47</v>
      </c>
      <c r="C151" t="s">
        <v>47</v>
      </c>
      <c r="D151" t="s">
        <v>41</v>
      </c>
      <c r="E151">
        <v>63.2</v>
      </c>
      <c r="F151">
        <v>2.137</v>
      </c>
      <c r="G151">
        <v>79</v>
      </c>
      <c r="H151">
        <v>1742</v>
      </c>
      <c r="I151">
        <v>0.789255776505009</v>
      </c>
      <c r="J151">
        <v>58350</v>
      </c>
      <c r="K151" s="9">
        <f>J151*0.00123348</f>
        <v>71.973557999999997</v>
      </c>
      <c r="L151" s="4">
        <f>(K151-E151)/E151</f>
        <v>0.13882212025316445</v>
      </c>
      <c r="M151">
        <v>684</v>
      </c>
      <c r="N151" s="12">
        <f>M151*0.00404686</f>
        <v>2.7680522400000003</v>
      </c>
      <c r="O151" s="4">
        <f>(N151-F151)/F151</f>
        <v>0.29529819372952748</v>
      </c>
      <c r="P151">
        <v>260</v>
      </c>
      <c r="Q151" s="9">
        <f>P151*0.3048</f>
        <v>79.248000000000005</v>
      </c>
      <c r="R151" s="4">
        <f>(Q151-G151)/G151</f>
        <v>3.1392405063291728E-3</v>
      </c>
    </row>
    <row r="152" spans="1:18" x14ac:dyDescent="0.3">
      <c r="A152" s="6">
        <v>601</v>
      </c>
      <c r="B152" t="s">
        <v>82</v>
      </c>
      <c r="C152" t="s">
        <v>82</v>
      </c>
      <c r="D152" t="s">
        <v>83</v>
      </c>
      <c r="E152">
        <v>2107.5</v>
      </c>
      <c r="F152">
        <v>52.195999999999998</v>
      </c>
      <c r="G152">
        <v>123</v>
      </c>
      <c r="H152">
        <v>1852</v>
      </c>
      <c r="I152">
        <v>0.84763710454456287</v>
      </c>
      <c r="J152">
        <v>1986600</v>
      </c>
      <c r="K152" s="9">
        <f>J152*0.00123348</f>
        <v>2450.431368</v>
      </c>
      <c r="L152" s="4">
        <f>(K152-E152)/E152</f>
        <v>0.1627195103202847</v>
      </c>
      <c r="M152">
        <v>19000</v>
      </c>
      <c r="N152" s="12">
        <f>M152*0.00404686</f>
        <v>76.890340000000009</v>
      </c>
      <c r="O152" s="4">
        <f>(N152-F152)/F152</f>
        <v>0.47310790098858174</v>
      </c>
      <c r="P152">
        <v>402</v>
      </c>
      <c r="Q152" s="9">
        <f>P152*0.3048</f>
        <v>122.5296</v>
      </c>
      <c r="R152" s="4">
        <f>(Q152-G152)/G152</f>
        <v>-3.8243902439024221E-3</v>
      </c>
    </row>
    <row r="153" spans="1:18" x14ac:dyDescent="0.3">
      <c r="A153" s="6">
        <v>442</v>
      </c>
      <c r="B153" t="s">
        <v>43</v>
      </c>
      <c r="C153" t="s">
        <v>43</v>
      </c>
      <c r="D153" t="s">
        <v>41</v>
      </c>
      <c r="E153">
        <v>27.8</v>
      </c>
      <c r="F153">
        <v>1.105</v>
      </c>
      <c r="G153">
        <v>76</v>
      </c>
      <c r="H153">
        <v>1836</v>
      </c>
      <c r="I153">
        <v>0.62451544683445726</v>
      </c>
      <c r="J153">
        <v>26760</v>
      </c>
      <c r="K153" s="9">
        <f>J153*0.00123348</f>
        <v>33.007924799999998</v>
      </c>
      <c r="L153" s="4">
        <f>(K153-E153)/E153</f>
        <v>0.18733542446043155</v>
      </c>
      <c r="M153">
        <v>365</v>
      </c>
      <c r="N153" s="12">
        <f>M153*0.00404686</f>
        <v>1.4771039000000001</v>
      </c>
      <c r="O153" s="4">
        <f>(N153-F153)/F153</f>
        <v>0.33674561085972865</v>
      </c>
      <c r="P153">
        <v>248</v>
      </c>
      <c r="Q153" s="9">
        <f>P153*0.3048</f>
        <v>75.590400000000002</v>
      </c>
      <c r="R153" s="4">
        <f>(Q153-G153)/G153</f>
        <v>-5.3894736842104935E-3</v>
      </c>
    </row>
    <row r="154" spans="1:18" x14ac:dyDescent="0.3">
      <c r="A154" s="6">
        <v>518</v>
      </c>
      <c r="B154" t="s">
        <v>68</v>
      </c>
      <c r="C154" t="s">
        <v>68</v>
      </c>
      <c r="D154" t="s">
        <v>41</v>
      </c>
      <c r="E154">
        <v>77</v>
      </c>
      <c r="F154">
        <v>3.895</v>
      </c>
      <c r="G154">
        <v>59</v>
      </c>
      <c r="H154">
        <v>2135</v>
      </c>
      <c r="I154">
        <v>0.78485783998438863</v>
      </c>
      <c r="J154">
        <v>74237</v>
      </c>
      <c r="K154" s="9">
        <f>J154*0.00123348</f>
        <v>91.569854759999998</v>
      </c>
      <c r="L154" s="4">
        <f>(K154-E154)/E154</f>
        <v>0.18921889298701297</v>
      </c>
      <c r="N154" s="12">
        <f>M154*0.00404686</f>
        <v>0</v>
      </c>
      <c r="O154" s="4">
        <f>(N154-F154)/F154</f>
        <v>-1</v>
      </c>
      <c r="P154">
        <v>192</v>
      </c>
      <c r="Q154" s="9">
        <f>P154*0.3048</f>
        <v>58.521600000000007</v>
      </c>
      <c r="R154" s="4">
        <f>(Q154-G154)/G154</f>
        <v>-8.1084745762710769E-3</v>
      </c>
    </row>
    <row r="155" spans="1:18" x14ac:dyDescent="0.3">
      <c r="A155" s="6">
        <v>445</v>
      </c>
      <c r="C155" t="s">
        <v>44</v>
      </c>
      <c r="D155" t="s">
        <v>32</v>
      </c>
      <c r="E155">
        <v>40</v>
      </c>
      <c r="F155">
        <v>1.444</v>
      </c>
      <c r="G155">
        <v>56</v>
      </c>
      <c r="H155">
        <v>2654</v>
      </c>
      <c r="I155">
        <v>0.8674265486878574</v>
      </c>
      <c r="J155">
        <v>38720</v>
      </c>
      <c r="K155" s="9">
        <f>J155*0.00123348</f>
        <v>47.760345599999994</v>
      </c>
      <c r="L155" s="4">
        <f>(K155-E155)/E155</f>
        <v>0.19400863999999984</v>
      </c>
      <c r="M155">
        <v>473</v>
      </c>
      <c r="N155" s="12">
        <f>M155*0.00404686</f>
        <v>1.9141647800000001</v>
      </c>
      <c r="O155" s="4">
        <f>(N155-F155)/F155</f>
        <v>0.32559887811634364</v>
      </c>
      <c r="P155">
        <v>185</v>
      </c>
      <c r="Q155" s="9">
        <f>P155*0.3048</f>
        <v>56.388000000000005</v>
      </c>
      <c r="R155" s="4">
        <f>(Q155-G155)/G155</f>
        <v>6.9285714285715217E-3</v>
      </c>
    </row>
    <row r="156" spans="1:18" x14ac:dyDescent="0.3">
      <c r="A156" s="6">
        <v>507</v>
      </c>
      <c r="B156" t="s">
        <v>64</v>
      </c>
      <c r="C156" t="s">
        <v>64</v>
      </c>
      <c r="D156" t="s">
        <v>60</v>
      </c>
      <c r="E156">
        <v>16.8</v>
      </c>
      <c r="F156">
        <v>1.43</v>
      </c>
      <c r="G156">
        <v>48</v>
      </c>
      <c r="H156">
        <v>1822</v>
      </c>
      <c r="I156">
        <v>0.25902866715517608</v>
      </c>
      <c r="J156">
        <v>18261</v>
      </c>
      <c r="K156" s="9">
        <f>J156*0.00123348</f>
        <v>22.52457828</v>
      </c>
      <c r="L156" s="4">
        <f>(K156-E156)/E156</f>
        <v>0.3407487071428571</v>
      </c>
      <c r="M156">
        <v>435</v>
      </c>
      <c r="N156" s="12">
        <f>M156*0.00404686</f>
        <v>1.7603841</v>
      </c>
      <c r="O156" s="4">
        <f>(N156-F156)/F156</f>
        <v>0.23103783216783222</v>
      </c>
      <c r="P156">
        <v>157</v>
      </c>
      <c r="Q156" s="9">
        <f>P156*0.3048</f>
        <v>47.8536</v>
      </c>
      <c r="R156" s="4">
        <f>(Q156-G156)/G156</f>
        <v>-3.0499999999999972E-3</v>
      </c>
    </row>
    <row r="157" spans="1:18" x14ac:dyDescent="0.3">
      <c r="A157" s="6">
        <v>893</v>
      </c>
      <c r="B157" t="s">
        <v>100</v>
      </c>
      <c r="C157" t="s">
        <v>100</v>
      </c>
      <c r="D157" t="s">
        <v>95</v>
      </c>
      <c r="E157">
        <v>171.2</v>
      </c>
      <c r="F157">
        <v>16.285</v>
      </c>
      <c r="G157">
        <v>59</v>
      </c>
      <c r="H157">
        <v>975</v>
      </c>
      <c r="I157">
        <v>-0.32053435194665703</v>
      </c>
      <c r="J157">
        <v>197100</v>
      </c>
      <c r="K157" s="9">
        <f>J157*0.00123348</f>
        <v>243.11890799999998</v>
      </c>
      <c r="L157" s="4">
        <f>(K157-E157)/E157</f>
        <v>0.42008707943925228</v>
      </c>
      <c r="M157">
        <v>4706</v>
      </c>
      <c r="N157" s="12">
        <f>M157*0.00404686</f>
        <v>19.044523160000001</v>
      </c>
      <c r="O157" s="4">
        <f>(N157-F157)/F157</f>
        <v>0.16945183665950264</v>
      </c>
      <c r="P157">
        <v>193</v>
      </c>
      <c r="Q157" s="9">
        <f>P157*0.3048</f>
        <v>58.8264</v>
      </c>
      <c r="R157" s="4">
        <f>(Q157-G157)/G157</f>
        <v>-2.9423728813559391E-3</v>
      </c>
    </row>
    <row r="158" spans="1:18" x14ac:dyDescent="0.3">
      <c r="A158" s="6">
        <v>393</v>
      </c>
      <c r="B158" t="s">
        <v>33</v>
      </c>
      <c r="C158" t="s">
        <v>33</v>
      </c>
      <c r="D158" t="s">
        <v>32</v>
      </c>
      <c r="E158">
        <v>1174.8</v>
      </c>
      <c r="F158">
        <v>74.557000000000002</v>
      </c>
      <c r="G158">
        <v>67</v>
      </c>
      <c r="H158">
        <v>1450</v>
      </c>
      <c r="I158">
        <v>0.27192062161553859</v>
      </c>
      <c r="J158">
        <v>1473118</v>
      </c>
      <c r="K158" s="9">
        <f>J158*0.00123348</f>
        <v>1817.0615906399998</v>
      </c>
      <c r="L158" s="4">
        <f>(K158-E158)/E158</f>
        <v>0.54669866414708879</v>
      </c>
      <c r="M158">
        <v>19560</v>
      </c>
      <c r="N158" s="12">
        <f>M158*0.00404686</f>
        <v>79.15658160000001</v>
      </c>
      <c r="O158" s="4">
        <f>(N158-F158)/F158</f>
        <v>6.169214963048416E-2</v>
      </c>
      <c r="P158">
        <v>220</v>
      </c>
      <c r="Q158" s="9">
        <f>P158*0.3048</f>
        <v>67.055999999999997</v>
      </c>
      <c r="R158" s="4">
        <f>(Q158-G158)/G158</f>
        <v>8.3582089552234902E-4</v>
      </c>
    </row>
    <row r="159" spans="1:18" x14ac:dyDescent="0.3">
      <c r="A159" s="6">
        <v>292</v>
      </c>
      <c r="B159" t="s">
        <v>16</v>
      </c>
      <c r="C159" t="s">
        <v>16</v>
      </c>
      <c r="D159" t="s">
        <v>17</v>
      </c>
      <c r="E159">
        <v>84</v>
      </c>
      <c r="F159">
        <v>3.9260000000000002</v>
      </c>
      <c r="G159">
        <v>33</v>
      </c>
      <c r="H159">
        <v>1454</v>
      </c>
      <c r="I159">
        <v>0.91035931247708735</v>
      </c>
      <c r="J159">
        <v>110679</v>
      </c>
      <c r="K159" s="9">
        <f>J159*0.00123348</f>
        <v>136.52033291999999</v>
      </c>
      <c r="L159" s="4">
        <f>(K159-E159)/E159</f>
        <v>0.62524205857142845</v>
      </c>
      <c r="M159">
        <v>2163</v>
      </c>
      <c r="N159" s="12">
        <f>M159*0.00404686</f>
        <v>8.7533581800000011</v>
      </c>
      <c r="O159" s="4">
        <f>(N159-F159)/F159</f>
        <v>1.2295869026999493</v>
      </c>
      <c r="P159">
        <v>109</v>
      </c>
      <c r="Q159" s="9">
        <f>P159*0.3048</f>
        <v>33.223199999999999</v>
      </c>
      <c r="R159" s="4">
        <f>(Q159-G159)/G159</f>
        <v>6.7636363636363189E-3</v>
      </c>
    </row>
    <row r="160" spans="1:18" x14ac:dyDescent="0.3">
      <c r="A160" s="6">
        <v>537</v>
      </c>
      <c r="B160" t="s">
        <v>75</v>
      </c>
      <c r="C160" t="s">
        <v>75</v>
      </c>
      <c r="D160" t="s">
        <v>60</v>
      </c>
      <c r="E160">
        <v>17.8</v>
      </c>
      <c r="F160">
        <v>1.1579999999999999</v>
      </c>
      <c r="G160">
        <v>49</v>
      </c>
      <c r="H160">
        <v>1997</v>
      </c>
      <c r="I160">
        <v>0.53698453053607031</v>
      </c>
      <c r="J160">
        <v>23970</v>
      </c>
      <c r="K160" s="9">
        <f>J160*0.00123348</f>
        <v>29.566515599999999</v>
      </c>
      <c r="L160" s="4">
        <f>(K160-E160)/E160</f>
        <v>0.66104020224719084</v>
      </c>
      <c r="M160">
        <v>406</v>
      </c>
      <c r="N160" s="12">
        <f>M160*0.00404686</f>
        <v>1.6430251600000001</v>
      </c>
      <c r="O160" s="4">
        <f>(N160-F160)/F160</f>
        <v>0.41884728842832486</v>
      </c>
      <c r="P160">
        <v>162</v>
      </c>
      <c r="Q160" s="9">
        <f>P160*0.3048</f>
        <v>49.377600000000001</v>
      </c>
      <c r="R160" s="4">
        <f>(Q160-G160)/G160</f>
        <v>7.7061224489796132E-3</v>
      </c>
    </row>
    <row r="161" spans="1:18" x14ac:dyDescent="0.3">
      <c r="A161" s="6">
        <v>780</v>
      </c>
      <c r="B161" t="s">
        <v>90</v>
      </c>
      <c r="C161" t="s">
        <v>90</v>
      </c>
      <c r="D161" t="s">
        <v>89</v>
      </c>
      <c r="E161">
        <v>272.60000000000002</v>
      </c>
      <c r="F161">
        <v>7.3739999999999997</v>
      </c>
      <c r="G161">
        <v>34</v>
      </c>
      <c r="H161">
        <v>448</v>
      </c>
      <c r="I161">
        <v>0.12626192427832991</v>
      </c>
      <c r="J161">
        <v>379636</v>
      </c>
      <c r="K161" s="9">
        <f>J161*0.00123348</f>
        <v>468.27341327999994</v>
      </c>
      <c r="L161" s="4">
        <f>(K161-E161)/E161</f>
        <v>0.71780415730007296</v>
      </c>
      <c r="M161">
        <v>17427</v>
      </c>
      <c r="N161" s="12">
        <f>M161*0.00404686</f>
        <v>70.524629220000008</v>
      </c>
      <c r="O161" s="4">
        <f>(N161-F161)/F161</f>
        <v>8.56395839707079</v>
      </c>
      <c r="P161">
        <v>110</v>
      </c>
      <c r="Q161" s="9">
        <f>P161*0.3048</f>
        <v>33.527999999999999</v>
      </c>
      <c r="R161" s="4">
        <f>(Q161-G161)/G161</f>
        <v>-1.3882352941176509E-2</v>
      </c>
    </row>
    <row r="162" spans="1:18" x14ac:dyDescent="0.3">
      <c r="A162" s="6">
        <v>293</v>
      </c>
      <c r="B162" t="s">
        <v>18</v>
      </c>
      <c r="C162" t="s">
        <v>18</v>
      </c>
      <c r="D162" t="s">
        <v>17</v>
      </c>
      <c r="E162">
        <v>159.19999999999999</v>
      </c>
      <c r="F162">
        <v>36.6</v>
      </c>
      <c r="G162">
        <v>34</v>
      </c>
      <c r="H162">
        <v>791</v>
      </c>
      <c r="I162">
        <v>0.3913521798400027</v>
      </c>
      <c r="J162">
        <v>229288</v>
      </c>
      <c r="K162" s="9">
        <f>J162*0.00123348</f>
        <v>282.82216223999995</v>
      </c>
      <c r="L162" s="4">
        <f>(K162-E162)/E162</f>
        <v>0.77652111959798975</v>
      </c>
      <c r="M162">
        <v>9043</v>
      </c>
      <c r="N162" s="12">
        <f>M162*0.00404686</f>
        <v>36.595754980000002</v>
      </c>
      <c r="O162" s="4">
        <f>(N162-F162)/F162</f>
        <v>-1.1598415300543838E-4</v>
      </c>
      <c r="P162">
        <v>111</v>
      </c>
      <c r="Q162" s="9">
        <f>P162*0.3048</f>
        <v>33.832799999999999</v>
      </c>
      <c r="R162" s="4">
        <f>(Q162-G162)/G162</f>
        <v>-4.9176470588235622E-3</v>
      </c>
    </row>
    <row r="163" spans="1:18" x14ac:dyDescent="0.3">
      <c r="A163" s="6">
        <v>936</v>
      </c>
      <c r="B163" t="s">
        <v>102</v>
      </c>
      <c r="C163" t="s">
        <v>102</v>
      </c>
      <c r="D163" t="s">
        <v>103</v>
      </c>
      <c r="E163">
        <v>42.6</v>
      </c>
      <c r="F163">
        <v>4.2919999999999998</v>
      </c>
      <c r="G163">
        <v>41</v>
      </c>
      <c r="H163">
        <v>947</v>
      </c>
      <c r="I163">
        <v>-0.1011121261909929</v>
      </c>
      <c r="J163">
        <v>79161</v>
      </c>
      <c r="K163" s="9">
        <f>J163*0.00123348</f>
        <v>97.643510279999987</v>
      </c>
      <c r="L163" s="4">
        <f>(K163-E163)/E163</f>
        <v>1.2921011802816897</v>
      </c>
      <c r="M163">
        <v>2557</v>
      </c>
      <c r="N163" s="12">
        <f>M163*0.00404686</f>
        <v>10.347821020000001</v>
      </c>
      <c r="O163" s="4">
        <f>(N163-F163)/F163</f>
        <v>1.410955503261883</v>
      </c>
      <c r="P163">
        <v>134</v>
      </c>
      <c r="Q163" s="9">
        <f>P163*0.3048</f>
        <v>40.843200000000003</v>
      </c>
      <c r="R163" s="4">
        <f>(Q163-G163)/G163</f>
        <v>-3.8243902439023644E-3</v>
      </c>
    </row>
    <row r="164" spans="1:18" x14ac:dyDescent="0.3">
      <c r="A164" s="6">
        <v>885</v>
      </c>
      <c r="B164" t="s">
        <v>99</v>
      </c>
      <c r="C164" t="s">
        <v>99</v>
      </c>
      <c r="D164" t="s">
        <v>95</v>
      </c>
      <c r="E164">
        <v>19.399999999999999</v>
      </c>
      <c r="F164">
        <v>1.419</v>
      </c>
      <c r="G164">
        <v>52</v>
      </c>
      <c r="H164">
        <v>1800</v>
      </c>
      <c r="I164">
        <v>0.4178835665057915</v>
      </c>
      <c r="J164">
        <v>42310</v>
      </c>
      <c r="K164" s="9">
        <f>J164*0.00123348</f>
        <v>52.188538799999996</v>
      </c>
      <c r="L164" s="4">
        <f>(K164-E164)/E164</f>
        <v>1.6901308659793814</v>
      </c>
      <c r="M164">
        <v>423</v>
      </c>
      <c r="N164" s="12">
        <f>M164*0.00404686</f>
        <v>1.7118217800000002</v>
      </c>
      <c r="O164" s="4">
        <f>(N164-F164)/F164</f>
        <v>0.20635784355179715</v>
      </c>
      <c r="P164">
        <v>171</v>
      </c>
      <c r="Q164" s="9">
        <f>P164*0.3048</f>
        <v>52.120800000000003</v>
      </c>
      <c r="R164" s="4">
        <f>(Q164-G164)/G164</f>
        <v>2.3230769230769745E-3</v>
      </c>
    </row>
    <row r="165" spans="1:18" x14ac:dyDescent="0.3">
      <c r="A165" s="6">
        <v>1109</v>
      </c>
      <c r="B165" t="s">
        <v>155</v>
      </c>
      <c r="C165" t="s">
        <v>156</v>
      </c>
      <c r="D165" t="s">
        <v>83</v>
      </c>
      <c r="E165">
        <v>75.599999999999994</v>
      </c>
      <c r="F165">
        <v>6.4820000000000002</v>
      </c>
      <c r="G165">
        <v>50</v>
      </c>
      <c r="H165">
        <v>1311</v>
      </c>
      <c r="I165">
        <v>-0.90184527202647358</v>
      </c>
      <c r="J165">
        <v>227683</v>
      </c>
      <c r="K165" s="9">
        <f>J165*0.00123348</f>
        <v>280.84242683999997</v>
      </c>
      <c r="L165" s="4">
        <f>(K165-E165)/E165</f>
        <v>2.7148469158730157</v>
      </c>
      <c r="M165">
        <v>7615</v>
      </c>
      <c r="N165" s="12">
        <f>M165*0.00404686</f>
        <v>30.8168389</v>
      </c>
      <c r="O165" s="4">
        <f>(N165-F165)/F165</f>
        <v>3.7542176643011418</v>
      </c>
      <c r="P165">
        <v>164</v>
      </c>
      <c r="Q165" s="9">
        <f>P165*0.3048</f>
        <v>49.987200000000001</v>
      </c>
      <c r="R165" s="4">
        <f>(Q165-G165)/G165</f>
        <v>-2.559999999999718E-4</v>
      </c>
    </row>
  </sheetData>
  <autoFilter ref="A1:R165" xr:uid="{00000000-0001-0000-0000-000000000000}">
    <sortState xmlns:xlrd2="http://schemas.microsoft.com/office/spreadsheetml/2017/richdata2" ref="A2:R166">
      <sortCondition ref="L1:L16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Casado</cp:lastModifiedBy>
  <dcterms:created xsi:type="dcterms:W3CDTF">2026-01-22T12:15:07Z</dcterms:created>
  <dcterms:modified xsi:type="dcterms:W3CDTF">2026-01-23T09:13:43Z</dcterms:modified>
</cp:coreProperties>
</file>